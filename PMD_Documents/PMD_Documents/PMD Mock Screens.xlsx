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tummrtaclk-my.sharepoint.com/personal/22it0475_itum_mrt_ac_lk/Documents/Desktop/plantation management system/PMD_Documents/PMD_Documents/"/>
    </mc:Choice>
  </mc:AlternateContent>
  <xr:revisionPtr revIDLastSave="20" documentId="11_0A73F524A53A1556115E40CD67435716207D2ABE" xr6:coauthVersionLast="47" xr6:coauthVersionMax="47" xr10:uidLastSave="{44C9D385-2C99-40D6-B979-36A8F888F7B3}"/>
  <bookViews>
    <workbookView minimized="1" xWindow="1464" yWindow="1464" windowWidth="17280" windowHeight="9960" xr2:uid="{00000000-000D-0000-FFFF-FFFF00000000}"/>
  </bookViews>
  <sheets>
    <sheet name="Field Officer" sheetId="1" r:id="rId1"/>
    <sheet name="Manager" sheetId="2" r:id="rId2"/>
    <sheet name="Graphs" sheetId="3" r:id="rId3"/>
    <sheet name="Office" sheetId="4" r:id="rId4"/>
    <sheet name="PMMD" sheetId="5" r:id="rId5"/>
    <sheet name="Storekeepe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L+Ei5UlBN776nUahqSklmbTdrvD0zGC18Ms9ISyLtrc="/>
    </ext>
  </extLst>
</workbook>
</file>

<file path=xl/calcChain.xml><?xml version="1.0" encoding="utf-8"?>
<calcChain xmlns="http://schemas.openxmlformats.org/spreadsheetml/2006/main">
  <c r="N28" i="5" l="1"/>
  <c r="P27" i="5"/>
  <c r="P28" i="5" s="1"/>
  <c r="N27" i="5"/>
  <c r="N26" i="5"/>
  <c r="O22" i="5"/>
  <c r="J34" i="3"/>
  <c r="I34" i="3"/>
  <c r="J26" i="3"/>
  <c r="K26" i="3" s="1"/>
  <c r="I26" i="3"/>
  <c r="P23" i="3"/>
  <c r="Q23" i="3" s="1"/>
  <c r="O23" i="3"/>
  <c r="J17" i="3"/>
  <c r="K17" i="3" s="1"/>
  <c r="I17" i="3"/>
  <c r="E296" i="2"/>
  <c r="E294" i="2"/>
  <c r="E286" i="2"/>
  <c r="E282" i="2"/>
  <c r="E268" i="2"/>
  <c r="E266" i="2"/>
  <c r="E264" i="2"/>
  <c r="E258" i="2"/>
  <c r="E254" i="2"/>
  <c r="K220" i="2"/>
  <c r="F219" i="2"/>
  <c r="J191" i="2"/>
  <c r="V190" i="2"/>
  <c r="J190" i="2"/>
  <c r="V189" i="2"/>
  <c r="F149" i="2"/>
  <c r="F150" i="2" s="1"/>
  <c r="F145" i="2"/>
  <c r="F142" i="2"/>
  <c r="F138" i="2"/>
  <c r="S135" i="2"/>
  <c r="F134" i="2"/>
  <c r="F114" i="2"/>
  <c r="F107" i="2"/>
  <c r="F110" i="2" s="1"/>
  <c r="F99" i="2"/>
  <c r="F103" i="2" s="1"/>
  <c r="M74" i="2"/>
  <c r="K74" i="2"/>
  <c r="I74" i="2"/>
  <c r="M73" i="2"/>
  <c r="K73" i="2"/>
  <c r="I73" i="2"/>
  <c r="I72" i="2"/>
  <c r="M45" i="2"/>
  <c r="M46" i="2" s="1"/>
  <c r="K45" i="2"/>
  <c r="K46" i="2" s="1"/>
  <c r="I45" i="2"/>
  <c r="I46" i="2" s="1"/>
  <c r="M44" i="2"/>
  <c r="K44" i="2"/>
  <c r="I44" i="2"/>
  <c r="D259" i="1"/>
  <c r="D257" i="1"/>
  <c r="D255" i="1"/>
  <c r="D249" i="1"/>
  <c r="D245" i="1"/>
  <c r="C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D184" i="1"/>
  <c r="E184" i="1" s="1"/>
  <c r="E143" i="1"/>
  <c r="E136" i="1"/>
  <c r="E139" i="1" s="1"/>
  <c r="E144" i="1" s="1"/>
  <c r="E128" i="1"/>
  <c r="E132" i="1" s="1"/>
  <c r="E114" i="1"/>
  <c r="E115" i="1" s="1"/>
  <c r="E107" i="1"/>
  <c r="E110" i="1" s="1"/>
  <c r="S102" i="1"/>
  <c r="E99" i="1"/>
  <c r="E103" i="1" s="1"/>
  <c r="L44" i="1"/>
  <c r="L45" i="1" s="1"/>
  <c r="J44" i="1"/>
  <c r="J45" i="1" s="1"/>
  <c r="H44" i="1"/>
  <c r="H45" i="1" s="1"/>
  <c r="H43" i="1"/>
  <c r="F115" i="2" l="1"/>
  <c r="P29" i="5"/>
  <c r="N29" i="5"/>
  <c r="D199" i="1"/>
  <c r="E199" i="1" s="1"/>
  <c r="P30" i="5" l="1"/>
  <c r="N30" i="5"/>
  <c r="P31" i="5" l="1"/>
  <c r="N31" i="5"/>
</calcChain>
</file>

<file path=xl/sharedStrings.xml><?xml version="1.0" encoding="utf-8"?>
<sst xmlns="http://schemas.openxmlformats.org/spreadsheetml/2006/main" count="1333" uniqueCount="429">
  <si>
    <t>Dunwatta Estate</t>
  </si>
  <si>
    <t>User Name</t>
  </si>
  <si>
    <t>Password</t>
  </si>
  <si>
    <t>Powered By</t>
  </si>
  <si>
    <t>Mr. R. S. Wickramasinghe</t>
  </si>
  <si>
    <t>GC Division</t>
  </si>
  <si>
    <t>Field Officer</t>
  </si>
  <si>
    <t>PM</t>
  </si>
  <si>
    <t>Work program</t>
  </si>
  <si>
    <t>Morning Muster</t>
  </si>
  <si>
    <t>TEA</t>
  </si>
  <si>
    <t>RUBBER</t>
  </si>
  <si>
    <t>Cinnamon</t>
  </si>
  <si>
    <t xml:space="preserve">Today </t>
  </si>
  <si>
    <t>To Date</t>
  </si>
  <si>
    <t>Messeges</t>
  </si>
  <si>
    <t>Evening Muster</t>
  </si>
  <si>
    <t>Budgeted Crop</t>
  </si>
  <si>
    <t>Crop</t>
  </si>
  <si>
    <t>Checkroll</t>
  </si>
  <si>
    <t>Work distribution</t>
  </si>
  <si>
    <t>Crop per day</t>
  </si>
  <si>
    <t>Balance</t>
  </si>
  <si>
    <t>Fertilizer Application</t>
  </si>
  <si>
    <t>Per Day</t>
  </si>
  <si>
    <t>Work Offered days</t>
  </si>
  <si>
    <t>Cost</t>
  </si>
  <si>
    <t>Plucking Average</t>
  </si>
  <si>
    <t>Plucking Cost</t>
  </si>
  <si>
    <t>log out</t>
  </si>
  <si>
    <t>Crop Book</t>
  </si>
  <si>
    <t>Weeding Cost</t>
  </si>
  <si>
    <t>RLO</t>
  </si>
  <si>
    <t>Order Request</t>
  </si>
  <si>
    <t>Crop/Acre</t>
  </si>
  <si>
    <t>Checkroll Weight</t>
  </si>
  <si>
    <t>Leave Application</t>
  </si>
  <si>
    <t>Correspondence</t>
  </si>
  <si>
    <t>Plucking Rounds</t>
  </si>
  <si>
    <t>Tapping Rounds</t>
  </si>
  <si>
    <t>Review Muster</t>
  </si>
  <si>
    <t>Time</t>
  </si>
  <si>
    <t>Tea</t>
  </si>
  <si>
    <t>Rubber</t>
  </si>
  <si>
    <t>General</t>
  </si>
  <si>
    <t>Pluckers</t>
  </si>
  <si>
    <t>Field No</t>
  </si>
  <si>
    <t>Mr. R.S. Wickramasinghe</t>
  </si>
  <si>
    <t>Work Items</t>
  </si>
  <si>
    <t>Plucking</t>
  </si>
  <si>
    <t>Kangani</t>
  </si>
  <si>
    <t>Sackcooli</t>
  </si>
  <si>
    <t>Transport</t>
  </si>
  <si>
    <t xml:space="preserve">Order Request </t>
  </si>
  <si>
    <t>Fertilizer</t>
  </si>
  <si>
    <t>1A</t>
  </si>
  <si>
    <t>Chemical Weeding</t>
  </si>
  <si>
    <t>1B</t>
  </si>
  <si>
    <t>Manual Weeeding</t>
  </si>
  <si>
    <t>Name</t>
  </si>
  <si>
    <t>1C</t>
  </si>
  <si>
    <t>Roads &amp; Boundries</t>
  </si>
  <si>
    <t>Work Program</t>
  </si>
  <si>
    <t>EPF No.</t>
  </si>
  <si>
    <t>1D</t>
  </si>
  <si>
    <t>Drains</t>
  </si>
  <si>
    <t>2A</t>
  </si>
  <si>
    <t>Terracing</t>
  </si>
  <si>
    <t>2B</t>
  </si>
  <si>
    <t>Tipping</t>
  </si>
  <si>
    <t>Names according to the Alphabatical Order.</t>
  </si>
  <si>
    <t>Pruning</t>
  </si>
  <si>
    <t>Adding of casual workers and contract works according to the wish of propriter</t>
  </si>
  <si>
    <t>Mossing &amp; Ferning</t>
  </si>
  <si>
    <t>Sundry</t>
  </si>
  <si>
    <t>Lime Spray</t>
  </si>
  <si>
    <t>Division</t>
  </si>
  <si>
    <t>Blister Blight</t>
  </si>
  <si>
    <t>Main Menu</t>
  </si>
  <si>
    <t>Muster Review</t>
  </si>
  <si>
    <t>Muster</t>
  </si>
  <si>
    <t>Clear All</t>
  </si>
  <si>
    <t>Muster Chit</t>
  </si>
  <si>
    <t>Clear</t>
  </si>
  <si>
    <t>Work item</t>
  </si>
  <si>
    <t>No of Workers</t>
  </si>
  <si>
    <t>Field No 2A - (15)</t>
  </si>
  <si>
    <t>Total Pluckers</t>
  </si>
  <si>
    <t>Kanganies</t>
  </si>
  <si>
    <t>Field No 5 - (6)</t>
  </si>
  <si>
    <t>Roads</t>
  </si>
  <si>
    <t>Toatal Tea</t>
  </si>
  <si>
    <t>Tapping</t>
  </si>
  <si>
    <t>14 R</t>
  </si>
  <si>
    <t>15 R</t>
  </si>
  <si>
    <t>10R</t>
  </si>
  <si>
    <t>Total Tappers</t>
  </si>
  <si>
    <t>Field No 9 - (3)</t>
  </si>
  <si>
    <t>Hand weeding</t>
  </si>
  <si>
    <t>20 R</t>
  </si>
  <si>
    <t>Submit</t>
  </si>
  <si>
    <t>Total Rubber</t>
  </si>
  <si>
    <t>Watcher</t>
  </si>
  <si>
    <t>Edit</t>
  </si>
  <si>
    <t>Tappal</t>
  </si>
  <si>
    <t>Bungalow</t>
  </si>
  <si>
    <t>Total General</t>
  </si>
  <si>
    <t>Grand Total Of workers</t>
  </si>
  <si>
    <t>After Submit the muster, Manager or propriter should give the Approval. Then field officers interface should be muster review non edit mode</t>
  </si>
  <si>
    <t>Field Weight</t>
  </si>
  <si>
    <t>Factory Weight</t>
  </si>
  <si>
    <t>Total</t>
  </si>
  <si>
    <t>todate</t>
  </si>
  <si>
    <t>Distribution of Works</t>
  </si>
  <si>
    <t>Previous months</t>
  </si>
  <si>
    <t>Sack cooli</t>
  </si>
  <si>
    <t>Manual Weeding</t>
  </si>
  <si>
    <t>Fertilizer application</t>
  </si>
  <si>
    <t>Folior Spray</t>
  </si>
  <si>
    <t>Dolomites application</t>
  </si>
  <si>
    <t>Boundries</t>
  </si>
  <si>
    <t>Mossing and Ferning</t>
  </si>
  <si>
    <t>Previous 12 Months</t>
  </si>
  <si>
    <t>Requirement - July</t>
  </si>
  <si>
    <t>History</t>
  </si>
  <si>
    <t>Extent</t>
  </si>
  <si>
    <t>Bush Count</t>
  </si>
  <si>
    <t>SPA</t>
  </si>
  <si>
    <t>Nitrogen</t>
  </si>
  <si>
    <t>Ratio</t>
  </si>
  <si>
    <t>April</t>
  </si>
  <si>
    <t>May</t>
  </si>
  <si>
    <t>June</t>
  </si>
  <si>
    <t>July</t>
  </si>
  <si>
    <t>Order Request / Return</t>
  </si>
  <si>
    <t>Cost Analysis</t>
  </si>
  <si>
    <t>Day</t>
  </si>
  <si>
    <t>Todate</t>
  </si>
  <si>
    <t>Work Item</t>
  </si>
  <si>
    <t>Amount</t>
  </si>
  <si>
    <t>Cost/Kg</t>
  </si>
  <si>
    <t>Sack Coolies</t>
  </si>
  <si>
    <t>Staff OT for Plucking</t>
  </si>
  <si>
    <t>Leaf Bags</t>
  </si>
  <si>
    <t>Cash Kilos</t>
  </si>
  <si>
    <t>Meals</t>
  </si>
  <si>
    <t>Over Kilos</t>
  </si>
  <si>
    <t>Total Plucking Cost</t>
  </si>
  <si>
    <t>Chemical Weeding ManDays</t>
  </si>
  <si>
    <t>Cost of Chemical</t>
  </si>
  <si>
    <t>Tank Repair</t>
  </si>
  <si>
    <t>Total Cost for Chemical weeding</t>
  </si>
  <si>
    <t>Manual Weeding ManDays</t>
  </si>
  <si>
    <t>Tools</t>
  </si>
  <si>
    <t>Total Cost for Manual weeding</t>
  </si>
  <si>
    <t>Fertilizer Cost</t>
  </si>
  <si>
    <t>Budgeted crop for the Year 2024/25</t>
  </si>
  <si>
    <t>Kg</t>
  </si>
  <si>
    <t>Achived Crop Upto end June</t>
  </si>
  <si>
    <t>Achivement</t>
  </si>
  <si>
    <t>%</t>
  </si>
  <si>
    <t xml:space="preserve">Budgeted crop up to June </t>
  </si>
  <si>
    <t>Achivement up to June</t>
  </si>
  <si>
    <t>Budgeted crop for the month</t>
  </si>
  <si>
    <t>Achived Crop - Todate</t>
  </si>
  <si>
    <t>Budgeted Crop for todate</t>
  </si>
  <si>
    <t>Achivement For The month</t>
  </si>
  <si>
    <t>Achivement For To Date</t>
  </si>
  <si>
    <t>Request / Pending orders</t>
  </si>
  <si>
    <t xml:space="preserve">Request </t>
  </si>
  <si>
    <t>Pending Orders</t>
  </si>
  <si>
    <t>Available in Divisional Stock</t>
  </si>
  <si>
    <t>Item</t>
  </si>
  <si>
    <t>Unit</t>
  </si>
  <si>
    <t>Qty</t>
  </si>
  <si>
    <t xml:space="preserve">FO Remarks </t>
  </si>
  <si>
    <t>Manager</t>
  </si>
  <si>
    <t>Order Cancel</t>
  </si>
  <si>
    <t>Approval</t>
  </si>
  <si>
    <t>Remarks</t>
  </si>
  <si>
    <t>Glyphosate</t>
  </si>
  <si>
    <t>Ltr</t>
  </si>
  <si>
    <t>U709</t>
  </si>
  <si>
    <t>Plain Sprouts</t>
  </si>
  <si>
    <t>Nos</t>
  </si>
  <si>
    <t>Mammoty</t>
  </si>
  <si>
    <t>Yield per Hectare</t>
  </si>
  <si>
    <t>No Of Pluckers</t>
  </si>
  <si>
    <t>Over kilos</t>
  </si>
  <si>
    <t>Plucking Cost per Kg</t>
  </si>
  <si>
    <t>Pending orders</t>
  </si>
  <si>
    <t>General Stock</t>
  </si>
  <si>
    <t>New perchase</t>
  </si>
  <si>
    <t>Request Form</t>
  </si>
  <si>
    <t>Available in General Stock</t>
  </si>
  <si>
    <t>Fertilizer Ac</t>
  </si>
  <si>
    <t>Available Qty</t>
  </si>
  <si>
    <t>12400 Kg</t>
  </si>
  <si>
    <t>Quantity</t>
  </si>
  <si>
    <t>300Kg</t>
  </si>
  <si>
    <t>Dolomites</t>
  </si>
  <si>
    <t>Spray Tanks</t>
  </si>
  <si>
    <t>Remarks:-</t>
  </si>
  <si>
    <t>Diesel</t>
  </si>
  <si>
    <t>Petral</t>
  </si>
  <si>
    <t>Alawangu</t>
  </si>
  <si>
    <t>TF Mixture</t>
  </si>
  <si>
    <t>Pkts</t>
  </si>
  <si>
    <t>Rain Coats</t>
  </si>
  <si>
    <t>Leaf Bags (nylon)</t>
  </si>
  <si>
    <t>Leaf Handling box</t>
  </si>
  <si>
    <t>Gluse</t>
  </si>
  <si>
    <t>Bush Cutter</t>
  </si>
  <si>
    <t>Plain sprouts</t>
  </si>
  <si>
    <t>Etheral</t>
  </si>
  <si>
    <t>Lit</t>
  </si>
  <si>
    <t>Cup Holders</t>
  </si>
  <si>
    <t>FO</t>
  </si>
  <si>
    <t>AFO 1</t>
  </si>
  <si>
    <t>AFO 2</t>
  </si>
  <si>
    <t>AFO3</t>
  </si>
  <si>
    <t>Designation</t>
  </si>
  <si>
    <t>Duty</t>
  </si>
  <si>
    <t>Annual</t>
  </si>
  <si>
    <t>Casual</t>
  </si>
  <si>
    <t>Date of Appointment</t>
  </si>
  <si>
    <t>15.05.2020</t>
  </si>
  <si>
    <t>Available</t>
  </si>
  <si>
    <t>No of Days leave Applying</t>
  </si>
  <si>
    <t>Leave Type</t>
  </si>
  <si>
    <t>Apply</t>
  </si>
  <si>
    <t>Period</t>
  </si>
  <si>
    <t>From</t>
  </si>
  <si>
    <t>To</t>
  </si>
  <si>
    <t>Previous</t>
  </si>
  <si>
    <t>Reason For Leave</t>
  </si>
  <si>
    <t>Address While on Leave</t>
  </si>
  <si>
    <t>Pending Leave :</t>
  </si>
  <si>
    <t>Dates</t>
  </si>
  <si>
    <t>Acting</t>
  </si>
  <si>
    <t>Reason</t>
  </si>
  <si>
    <t>Additional Contact No</t>
  </si>
  <si>
    <t>Acting Arrangement</t>
  </si>
  <si>
    <t>Add people +</t>
  </si>
  <si>
    <t>Reacent Chats</t>
  </si>
  <si>
    <t>Mr. P. M. Rajapaksa</t>
  </si>
  <si>
    <t>Mr. P.M. Rajapaksa</t>
  </si>
  <si>
    <t>Crop Performance - Estate July 2024</t>
  </si>
  <si>
    <t>SS Division</t>
  </si>
  <si>
    <t>FD Division</t>
  </si>
  <si>
    <t>Cash Book</t>
  </si>
  <si>
    <t>MK Division</t>
  </si>
  <si>
    <t>Pending Payments</t>
  </si>
  <si>
    <t>Stock</t>
  </si>
  <si>
    <t>Payments Approval</t>
  </si>
  <si>
    <t>Fertilizer Program</t>
  </si>
  <si>
    <t>Crop Books</t>
  </si>
  <si>
    <t>Order Approval</t>
  </si>
  <si>
    <t>KPI</t>
  </si>
  <si>
    <t>Work Distribution</t>
  </si>
  <si>
    <t>Mr.R.S.Wickramasinghe</t>
  </si>
  <si>
    <t>Crop Performance - GC Division</t>
  </si>
  <si>
    <t>Crop Achivement</t>
  </si>
  <si>
    <t>06.07.2024</t>
  </si>
  <si>
    <t>TIME</t>
  </si>
  <si>
    <t>Approved</t>
  </si>
  <si>
    <t>Return</t>
  </si>
  <si>
    <t>After Approval Done, activate comments buttons only</t>
  </si>
  <si>
    <t>Evening Muster Approval</t>
  </si>
  <si>
    <t>Checkroll weight</t>
  </si>
  <si>
    <t>Field weight</t>
  </si>
  <si>
    <t>Item Caragary</t>
  </si>
  <si>
    <t>Availability</t>
  </si>
  <si>
    <t>Pending Order</t>
  </si>
  <si>
    <t>Value</t>
  </si>
  <si>
    <t>B Stock</t>
  </si>
  <si>
    <t>By</t>
  </si>
  <si>
    <t>Tyre</t>
  </si>
  <si>
    <t>Dolomite</t>
  </si>
  <si>
    <t>pkts</t>
  </si>
  <si>
    <t>Fuel</t>
  </si>
  <si>
    <t>Urea</t>
  </si>
  <si>
    <t>PPE</t>
  </si>
  <si>
    <t>Zinc</t>
  </si>
  <si>
    <t>Vehicle Parts</t>
  </si>
  <si>
    <t>Epsamsalt</t>
  </si>
  <si>
    <t>Stationaries</t>
  </si>
  <si>
    <t>ERP</t>
  </si>
  <si>
    <t>Chemicals</t>
  </si>
  <si>
    <t>MOP</t>
  </si>
  <si>
    <t>Ferniture</t>
  </si>
  <si>
    <t>Kieserite</t>
  </si>
  <si>
    <t>Total Value Of Fertilizers</t>
  </si>
  <si>
    <t>Pending Approvals</t>
  </si>
  <si>
    <t>Pending for approval for Stock requests</t>
  </si>
  <si>
    <t>Internal</t>
  </si>
  <si>
    <t>EXTERNAL</t>
  </si>
  <si>
    <t>Value (Rs)</t>
  </si>
  <si>
    <t>General Stores</t>
  </si>
  <si>
    <t>Tea Factory</t>
  </si>
  <si>
    <t>Rubber Factory</t>
  </si>
  <si>
    <t>Cinnamon Peeling Center</t>
  </si>
  <si>
    <t>Office</t>
  </si>
  <si>
    <t>AVAILABILITY</t>
  </si>
  <si>
    <t>Supplier</t>
  </si>
  <si>
    <t>Purpose</t>
  </si>
  <si>
    <t>275x17 tyre</t>
  </si>
  <si>
    <t>urea</t>
  </si>
  <si>
    <t>kmtyre</t>
  </si>
  <si>
    <t>nos</t>
  </si>
  <si>
    <t>GA8547</t>
  </si>
  <si>
    <t>bulbs</t>
  </si>
  <si>
    <t>Agstar</t>
  </si>
  <si>
    <t>kg</t>
  </si>
  <si>
    <t>stock</t>
  </si>
  <si>
    <t>janatha hardware</t>
  </si>
  <si>
    <t>manager bunglow</t>
  </si>
  <si>
    <t>Estate</t>
  </si>
  <si>
    <t>Budget</t>
  </si>
  <si>
    <t>Achived</t>
  </si>
  <si>
    <t>Crop Achievement</t>
  </si>
  <si>
    <t>Todate also Same Table</t>
  </si>
  <si>
    <t>Key Performance Indicators</t>
  </si>
  <si>
    <t xml:space="preserve">GC </t>
  </si>
  <si>
    <t>FD</t>
  </si>
  <si>
    <t>MK</t>
  </si>
  <si>
    <t>SS</t>
  </si>
  <si>
    <t>Highest</t>
  </si>
  <si>
    <t>123.69%GC</t>
  </si>
  <si>
    <t>Lowest</t>
  </si>
  <si>
    <t>94.62% MK</t>
  </si>
  <si>
    <t>24.61 FD</t>
  </si>
  <si>
    <t>Today</t>
  </si>
  <si>
    <t>Budgeted</t>
  </si>
  <si>
    <t>Month Budget</t>
  </si>
  <si>
    <t>Field Wise</t>
  </si>
  <si>
    <t>21.63 MK</t>
  </si>
  <si>
    <t>GC</t>
  </si>
  <si>
    <t>CPA</t>
  </si>
  <si>
    <t>92 MK</t>
  </si>
  <si>
    <t>81FD</t>
  </si>
  <si>
    <t>ESTATE</t>
  </si>
  <si>
    <t>PLUCKING AVERAGE (Green Leaf/Manday)</t>
  </si>
  <si>
    <t>3.41 GC</t>
  </si>
  <si>
    <t>TODAY</t>
  </si>
  <si>
    <t>TODATE</t>
  </si>
  <si>
    <t>3.03FD</t>
  </si>
  <si>
    <t>Plucking Round</t>
  </si>
  <si>
    <t>25% GC</t>
  </si>
  <si>
    <t>12% SS</t>
  </si>
  <si>
    <t>Crop Per Acre (CPA) Green Leaf/Acre</t>
  </si>
  <si>
    <t>Revenue Labour Output (RLO) Green Leaf/Manday</t>
  </si>
  <si>
    <t>estimated - [plucking extent*(No of days of The month/7)]date of the month</t>
  </si>
  <si>
    <t>plucked extent - todate total extent of plucked</t>
  </si>
  <si>
    <t>Plucked</t>
  </si>
  <si>
    <t>Estimated</t>
  </si>
  <si>
    <t>weight defferences</t>
  </si>
  <si>
    <t>daily history</t>
  </si>
  <si>
    <t>Field Weight - Factory Weight</t>
  </si>
  <si>
    <t>Field</t>
  </si>
  <si>
    <t>Factory</t>
  </si>
  <si>
    <t>Fld to Fact.</t>
  </si>
  <si>
    <t>CR to Fact.</t>
  </si>
  <si>
    <t>Fact. to CR</t>
  </si>
  <si>
    <t>Diff/Fact.Weight</t>
  </si>
  <si>
    <t>5% Max</t>
  </si>
  <si>
    <t>Factory Weight - Checkroll Weight</t>
  </si>
  <si>
    <t>Diff./Fact.Weight</t>
  </si>
  <si>
    <t>2% - 5%</t>
  </si>
  <si>
    <t>Pluckers Out turn</t>
  </si>
  <si>
    <t>Reg.</t>
  </si>
  <si>
    <t>Todate %</t>
  </si>
  <si>
    <t>Contract</t>
  </si>
  <si>
    <t>Combined</t>
  </si>
  <si>
    <t>todate %</t>
  </si>
  <si>
    <t>daily history with Breakdown</t>
  </si>
  <si>
    <t>Pl Cost</t>
  </si>
  <si>
    <t>Pluckig Rounds</t>
  </si>
  <si>
    <t>Total Extent</t>
  </si>
  <si>
    <t>Suitable plucking round book format with graphs</t>
  </si>
  <si>
    <t>Days</t>
  </si>
  <si>
    <t>Acres</t>
  </si>
  <si>
    <t>delayed rounds should be highlited</t>
  </si>
  <si>
    <t>9days</t>
  </si>
  <si>
    <t>7Days</t>
  </si>
  <si>
    <t>Dunwatte Estate</t>
  </si>
  <si>
    <t>Mr. D.M. A. K. Dissanayaka</t>
  </si>
  <si>
    <t>Plantations Management Monitoring DashBoard</t>
  </si>
  <si>
    <t>Propriter</t>
  </si>
  <si>
    <t>Date</t>
  </si>
  <si>
    <t>Rain/fall</t>
  </si>
  <si>
    <t>21mm</t>
  </si>
  <si>
    <t>968mm</t>
  </si>
  <si>
    <t>Wet days</t>
  </si>
  <si>
    <t>Workers Deployment</t>
  </si>
  <si>
    <t>worker deployent rubber</t>
  </si>
  <si>
    <t>plucking</t>
  </si>
  <si>
    <t>tapping</t>
  </si>
  <si>
    <t>weeding</t>
  </si>
  <si>
    <t>chemical weeding</t>
  </si>
  <si>
    <t>rainguards</t>
  </si>
  <si>
    <t>roads</t>
  </si>
  <si>
    <t>boundries</t>
  </si>
  <si>
    <t>Pending Payment</t>
  </si>
  <si>
    <t>crop achiement</t>
  </si>
  <si>
    <t>budgeted</t>
  </si>
  <si>
    <t>actual</t>
  </si>
  <si>
    <t>Cash Flow</t>
  </si>
  <si>
    <t>Day Profit</t>
  </si>
  <si>
    <t>Month Todate</t>
  </si>
  <si>
    <t>Year Todate</t>
  </si>
  <si>
    <t>Touch</t>
  </si>
  <si>
    <t>* Plucking Rounds and Tapping rounds -&gt; Division wice and field wice Plucking or tapping chart</t>
  </si>
  <si>
    <t>* Workers deployment of tea/rubber -&gt; taking summery of worker distribution</t>
  </si>
  <si>
    <t>Issued</t>
  </si>
  <si>
    <t>Mr. W. D. Nanayakkara</t>
  </si>
  <si>
    <t>Store Keeper</t>
  </si>
  <si>
    <t>Good Received Book</t>
  </si>
  <si>
    <t>Supplier code</t>
  </si>
  <si>
    <t>Item Code</t>
  </si>
  <si>
    <t>Order No</t>
  </si>
  <si>
    <t>GRB No</t>
  </si>
  <si>
    <t>Payement</t>
  </si>
  <si>
    <t>Cash</t>
  </si>
  <si>
    <t>Cheque</t>
  </si>
  <si>
    <t>Online</t>
  </si>
  <si>
    <t>New Arrival</t>
  </si>
  <si>
    <t>Pending External Orders</t>
  </si>
  <si>
    <t>Good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</si>
</sst>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26"/>
      <color rgb="FF1F3864"/>
      <name val="Calibri"/>
    </font>
    <font>
      <sz val="11"/>
      <name val="Calibri"/>
    </font>
    <font>
      <b/>
      <sz val="18"/>
      <color rgb="FF1F3864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4"/>
      <color theme="1"/>
      <name val="Calibri"/>
    </font>
    <font>
      <b/>
      <sz val="12"/>
      <color theme="1"/>
      <name val="Calibri"/>
    </font>
    <font>
      <sz val="11"/>
      <color rgb="FF00B050"/>
      <name val="Calibri"/>
    </font>
    <font>
      <sz val="11"/>
      <color rgb="FF1F3864"/>
      <name val="Calibri"/>
    </font>
    <font>
      <sz val="18"/>
      <color theme="1"/>
      <name val="Calibri"/>
    </font>
    <font>
      <b/>
      <sz val="11"/>
      <color rgb="FF1F3864"/>
      <name val="Calibri"/>
    </font>
    <font>
      <sz val="11"/>
      <color theme="1"/>
      <name val="Calibri"/>
      <scheme val="minor"/>
    </font>
    <font>
      <b/>
      <sz val="9"/>
      <color theme="1"/>
      <name val="Calibri"/>
    </font>
    <font>
      <sz val="8"/>
      <color theme="1"/>
      <name val="Calibri"/>
    </font>
    <font>
      <sz val="11"/>
      <color rgb="FF7F7F7F"/>
      <name val="Calibri"/>
    </font>
    <font>
      <sz val="9"/>
      <color theme="1"/>
      <name val="Calibri"/>
    </font>
    <font>
      <sz val="11"/>
      <color rgb="FF757070"/>
      <name val="Calibri"/>
    </font>
    <font>
      <b/>
      <sz val="11"/>
      <color rgb="FF757070"/>
      <name val="Calibri"/>
    </font>
    <font>
      <sz val="9"/>
      <color rgb="FF1F3864"/>
      <name val="Calibri"/>
    </font>
    <font>
      <sz val="11"/>
      <color rgb="FFFF0000"/>
      <name val="Calibri"/>
    </font>
    <font>
      <sz val="11"/>
      <color rgb="FFFFC000"/>
      <name val="Calibri"/>
    </font>
  </fonts>
  <fills count="3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E2EFD9"/>
        <bgColor rgb="FFE2EFD9"/>
      </patternFill>
    </fill>
    <fill>
      <patternFill patternType="solid">
        <fgColor rgb="FF548135"/>
        <bgColor rgb="FF548135"/>
      </patternFill>
    </fill>
    <fill>
      <patternFill patternType="solid">
        <fgColor rgb="FFC00000"/>
        <bgColor rgb="FFC00000"/>
      </patternFill>
    </fill>
    <fill>
      <patternFill patternType="solid">
        <fgColor rgb="FF8496B0"/>
        <bgColor rgb="FF8496B0"/>
      </patternFill>
    </fill>
    <fill>
      <patternFill patternType="solid">
        <fgColor rgb="FFC8C8C8"/>
        <bgColor rgb="FFC8C8C8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F7CAAC"/>
        <bgColor rgb="FFF7CAAC"/>
      </patternFill>
    </fill>
    <fill>
      <patternFill patternType="solid">
        <fgColor rgb="FF8EAADB"/>
        <bgColor rgb="FF8EAADB"/>
      </patternFill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theme="9"/>
        <bgColor theme="9"/>
      </patternFill>
    </fill>
    <fill>
      <patternFill patternType="solid">
        <fgColor rgb="FFAEABAB"/>
        <bgColor rgb="FFAEABAB"/>
      </patternFill>
    </fill>
    <fill>
      <patternFill patternType="solid">
        <fgColor rgb="FFDADADA"/>
        <bgColor rgb="FFDADADA"/>
      </patternFill>
    </fill>
    <fill>
      <patternFill patternType="solid">
        <fgColor rgb="FFFFD965"/>
        <bgColor rgb="FFFFD965"/>
      </patternFill>
    </fill>
    <fill>
      <patternFill patternType="solid">
        <fgColor rgb="FFBFBFBF"/>
        <bgColor rgb="FFBFBFBF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0070C0"/>
        <bgColor rgb="FF0070C0"/>
      </patternFill>
    </fill>
    <fill>
      <patternFill patternType="solid">
        <fgColor rgb="FF7030A0"/>
        <bgColor rgb="FF7030A0"/>
      </patternFill>
    </fill>
    <fill>
      <patternFill patternType="solid">
        <fgColor rgb="FF6F171F"/>
        <bgColor rgb="FF6F171F"/>
      </patternFill>
    </fill>
    <fill>
      <patternFill patternType="solid">
        <fgColor rgb="FFF2B4C3"/>
        <bgColor rgb="FFF2B4C3"/>
      </patternFill>
    </fill>
    <fill>
      <patternFill patternType="solid">
        <fgColor rgb="FF2E75B5"/>
        <bgColor rgb="FF2E75B5"/>
      </patternFill>
    </fill>
    <fill>
      <patternFill patternType="solid">
        <fgColor rgb="FFFEF2CB"/>
        <bgColor rgb="FFFEF2CB"/>
      </patternFill>
    </fill>
  </fills>
  <borders count="1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45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7" fillId="2" borderId="5" xfId="0" applyFont="1" applyFill="1" applyBorder="1"/>
    <xf numFmtId="0" fontId="1" fillId="2" borderId="26" xfId="0" applyFont="1" applyFill="1" applyBorder="1"/>
    <xf numFmtId="15" fontId="8" fillId="2" borderId="5" xfId="0" applyNumberFormat="1" applyFont="1" applyFill="1" applyBorder="1"/>
    <xf numFmtId="21" fontId="1" fillId="2" borderId="5" xfId="0" applyNumberFormat="1" applyFont="1" applyFill="1" applyBorder="1"/>
    <xf numFmtId="0" fontId="1" fillId="4" borderId="5" xfId="0" applyFont="1" applyFill="1" applyBorder="1"/>
    <xf numFmtId="3" fontId="6" fillId="2" borderId="5" xfId="0" applyNumberFormat="1" applyFont="1" applyFill="1" applyBorder="1"/>
    <xf numFmtId="3" fontId="6" fillId="2" borderId="26" xfId="0" applyNumberFormat="1" applyFont="1" applyFill="1" applyBorder="1"/>
    <xf numFmtId="0" fontId="2" fillId="2" borderId="5" xfId="0" applyFont="1" applyFill="1" applyBorder="1" applyAlignment="1">
      <alignment vertical="center"/>
    </xf>
    <xf numFmtId="0" fontId="9" fillId="2" borderId="5" xfId="0" applyFont="1" applyFill="1" applyBorder="1"/>
    <xf numFmtId="0" fontId="1" fillId="5" borderId="31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1" fillId="8" borderId="35" xfId="0" applyFont="1" applyFill="1" applyBorder="1"/>
    <xf numFmtId="0" fontId="1" fillId="8" borderId="32" xfId="0" applyFont="1" applyFill="1" applyBorder="1" applyAlignment="1">
      <alignment horizontal="right" vertical="center"/>
    </xf>
    <xf numFmtId="3" fontId="1" fillId="8" borderId="32" xfId="0" applyNumberFormat="1" applyFont="1" applyFill="1" applyBorder="1" applyAlignment="1">
      <alignment horizontal="right" vertical="center"/>
    </xf>
    <xf numFmtId="0" fontId="1" fillId="8" borderId="32" xfId="0" applyFont="1" applyFill="1" applyBorder="1"/>
    <xf numFmtId="0" fontId="1" fillId="8" borderId="33" xfId="0" applyFont="1" applyFill="1" applyBorder="1"/>
    <xf numFmtId="0" fontId="1" fillId="3" borderId="31" xfId="0" applyFont="1" applyFill="1" applyBorder="1"/>
    <xf numFmtId="3" fontId="1" fillId="3" borderId="32" xfId="0" applyNumberFormat="1" applyFont="1" applyFill="1" applyBorder="1" applyAlignment="1">
      <alignment horizontal="right" vertical="center"/>
    </xf>
    <xf numFmtId="164" fontId="1" fillId="3" borderId="32" xfId="0" applyNumberFormat="1" applyFont="1" applyFill="1" applyBorder="1" applyAlignment="1">
      <alignment horizontal="right" vertical="center"/>
    </xf>
    <xf numFmtId="0" fontId="1" fillId="3" borderId="32" xfId="0" applyFont="1" applyFill="1" applyBorder="1"/>
    <xf numFmtId="0" fontId="1" fillId="3" borderId="33" xfId="0" applyFont="1" applyFill="1" applyBorder="1"/>
    <xf numFmtId="0" fontId="10" fillId="4" borderId="31" xfId="0" applyFont="1" applyFill="1" applyBorder="1" applyAlignment="1">
      <alignment vertical="center"/>
    </xf>
    <xf numFmtId="0" fontId="10" fillId="4" borderId="32" xfId="0" applyFont="1" applyFill="1" applyBorder="1" applyAlignment="1">
      <alignment horizontal="right" vertical="center"/>
    </xf>
    <xf numFmtId="164" fontId="1" fillId="4" borderId="32" xfId="0" applyNumberFormat="1" applyFont="1" applyFill="1" applyBorder="1" applyAlignment="1">
      <alignment horizontal="right" vertical="center"/>
    </xf>
    <xf numFmtId="0" fontId="1" fillId="4" borderId="32" xfId="0" applyFont="1" applyFill="1" applyBorder="1"/>
    <xf numFmtId="0" fontId="1" fillId="4" borderId="33" xfId="0" applyFont="1" applyFill="1" applyBorder="1"/>
    <xf numFmtId="0" fontId="10" fillId="9" borderId="31" xfId="0" applyFont="1" applyFill="1" applyBorder="1" applyAlignment="1">
      <alignment vertical="center"/>
    </xf>
    <xf numFmtId="0" fontId="10" fillId="9" borderId="32" xfId="0" applyFont="1" applyFill="1" applyBorder="1" applyAlignment="1">
      <alignment horizontal="right" vertical="center"/>
    </xf>
    <xf numFmtId="3" fontId="1" fillId="9" borderId="32" xfId="0" applyNumberFormat="1" applyFont="1" applyFill="1" applyBorder="1" applyAlignment="1">
      <alignment horizontal="right" vertical="center"/>
    </xf>
    <xf numFmtId="0" fontId="1" fillId="9" borderId="32" xfId="0" applyFont="1" applyFill="1" applyBorder="1"/>
    <xf numFmtId="0" fontId="1" fillId="9" borderId="33" xfId="0" applyFont="1" applyFill="1" applyBorder="1"/>
    <xf numFmtId="0" fontId="1" fillId="4" borderId="31" xfId="0" applyFont="1" applyFill="1" applyBorder="1"/>
    <xf numFmtId="0" fontId="1" fillId="4" borderId="32" xfId="0" applyFont="1" applyFill="1" applyBorder="1" applyAlignment="1">
      <alignment horizontal="right" vertical="center"/>
    </xf>
    <xf numFmtId="1" fontId="1" fillId="4" borderId="33" xfId="0" applyNumberFormat="1" applyFont="1" applyFill="1" applyBorder="1"/>
    <xf numFmtId="0" fontId="1" fillId="3" borderId="32" xfId="0" applyFont="1" applyFill="1" applyBorder="1" applyAlignment="1">
      <alignment horizontal="right" vertical="center"/>
    </xf>
    <xf numFmtId="0" fontId="1" fillId="8" borderId="31" xfId="0" applyFont="1" applyFill="1" applyBorder="1"/>
    <xf numFmtId="0" fontId="1" fillId="10" borderId="5" xfId="0" applyFont="1" applyFill="1" applyBorder="1"/>
    <xf numFmtId="0" fontId="1" fillId="9" borderId="31" xfId="0" applyFont="1" applyFill="1" applyBorder="1"/>
    <xf numFmtId="0" fontId="1" fillId="9" borderId="32" xfId="0" applyFont="1" applyFill="1" applyBorder="1" applyAlignment="1">
      <alignment horizontal="right" vertical="center"/>
    </xf>
    <xf numFmtId="0" fontId="1" fillId="3" borderId="36" xfId="0" applyFont="1" applyFill="1" applyBorder="1"/>
    <xf numFmtId="0" fontId="1" fillId="3" borderId="37" xfId="0" applyFont="1" applyFill="1" applyBorder="1"/>
    <xf numFmtId="0" fontId="1" fillId="3" borderId="38" xfId="0" applyFont="1" applyFill="1" applyBorder="1"/>
    <xf numFmtId="0" fontId="1" fillId="2" borderId="39" xfId="0" applyFont="1" applyFill="1" applyBorder="1"/>
    <xf numFmtId="15" fontId="1" fillId="2" borderId="5" xfId="0" applyNumberFormat="1" applyFont="1" applyFill="1" applyBorder="1"/>
    <xf numFmtId="0" fontId="1" fillId="5" borderId="38" xfId="0" applyFont="1" applyFill="1" applyBorder="1"/>
    <xf numFmtId="0" fontId="1" fillId="6" borderId="41" xfId="0" applyFont="1" applyFill="1" applyBorder="1"/>
    <xf numFmtId="0" fontId="1" fillId="7" borderId="41" xfId="0" applyFont="1" applyFill="1" applyBorder="1"/>
    <xf numFmtId="0" fontId="1" fillId="12" borderId="36" xfId="0" applyFont="1" applyFill="1" applyBorder="1"/>
    <xf numFmtId="0" fontId="1" fillId="2" borderId="42" xfId="0" applyFont="1" applyFill="1" applyBorder="1"/>
    <xf numFmtId="0" fontId="1" fillId="2" borderId="43" xfId="0" applyFont="1" applyFill="1" applyBorder="1"/>
    <xf numFmtId="0" fontId="1" fillId="2" borderId="44" xfId="0" applyFont="1" applyFill="1" applyBorder="1"/>
    <xf numFmtId="0" fontId="1" fillId="2" borderId="26" xfId="0" applyFont="1" applyFill="1" applyBorder="1" applyAlignment="1">
      <alignment horizontal="center"/>
    </xf>
    <xf numFmtId="0" fontId="6" fillId="2" borderId="5" xfId="0" applyFont="1" applyFill="1" applyBorder="1"/>
    <xf numFmtId="0" fontId="1" fillId="13" borderId="26" xfId="0" applyFont="1" applyFill="1" applyBorder="1" applyAlignment="1">
      <alignment horizontal="center"/>
    </xf>
    <xf numFmtId="0" fontId="10" fillId="2" borderId="5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12" fillId="2" borderId="44" xfId="0" applyFont="1" applyFill="1" applyBorder="1" applyAlignment="1">
      <alignment vertical="center"/>
    </xf>
    <xf numFmtId="0" fontId="1" fillId="0" borderId="45" xfId="0" applyFont="1" applyBorder="1"/>
    <xf numFmtId="0" fontId="1" fillId="0" borderId="46" xfId="0" applyFont="1" applyBorder="1"/>
    <xf numFmtId="0" fontId="10" fillId="13" borderId="5" xfId="0" applyFont="1" applyFill="1" applyBorder="1" applyAlignment="1">
      <alignment vertical="center"/>
    </xf>
    <xf numFmtId="0" fontId="1" fillId="0" borderId="47" xfId="0" applyFont="1" applyBorder="1"/>
    <xf numFmtId="0" fontId="1" fillId="0" borderId="48" xfId="0" applyFont="1" applyBorder="1"/>
    <xf numFmtId="0" fontId="1" fillId="0" borderId="0" xfId="0" applyFont="1"/>
    <xf numFmtId="0" fontId="1" fillId="0" borderId="49" xfId="0" applyFont="1" applyBorder="1"/>
    <xf numFmtId="0" fontId="1" fillId="0" borderId="50" xfId="0" applyFont="1" applyBorder="1"/>
    <xf numFmtId="0" fontId="13" fillId="0" borderId="0" xfId="0" applyFont="1"/>
    <xf numFmtId="0" fontId="14" fillId="10" borderId="5" xfId="0" applyFont="1" applyFill="1" applyBorder="1"/>
    <xf numFmtId="0" fontId="1" fillId="2" borderId="35" xfId="0" applyFont="1" applyFill="1" applyBorder="1"/>
    <xf numFmtId="0" fontId="1" fillId="14" borderId="5" xfId="0" applyFont="1" applyFill="1" applyBorder="1"/>
    <xf numFmtId="0" fontId="1" fillId="2" borderId="54" xfId="0" applyFont="1" applyFill="1" applyBorder="1"/>
    <xf numFmtId="0" fontId="1" fillId="14" borderId="55" xfId="0" applyFont="1" applyFill="1" applyBorder="1"/>
    <xf numFmtId="0" fontId="1" fillId="2" borderId="32" xfId="0" applyFont="1" applyFill="1" applyBorder="1"/>
    <xf numFmtId="0" fontId="15" fillId="2" borderId="57" xfId="0" applyFont="1" applyFill="1" applyBorder="1"/>
    <xf numFmtId="0" fontId="1" fillId="5" borderId="32" xfId="0" applyFont="1" applyFill="1" applyBorder="1" applyAlignment="1">
      <alignment horizontal="center"/>
    </xf>
    <xf numFmtId="0" fontId="1" fillId="5" borderId="57" xfId="0" applyFont="1" applyFill="1" applyBorder="1" applyAlignment="1">
      <alignment horizontal="right"/>
    </xf>
    <xf numFmtId="0" fontId="10" fillId="5" borderId="32" xfId="0" applyFont="1" applyFill="1" applyBorder="1" applyAlignment="1">
      <alignment horizontal="center" vertical="center"/>
    </xf>
    <xf numFmtId="0" fontId="10" fillId="5" borderId="57" xfId="0" applyFont="1" applyFill="1" applyBorder="1" applyAlignment="1">
      <alignment horizontal="right" vertical="center"/>
    </xf>
    <xf numFmtId="0" fontId="12" fillId="5" borderId="57" xfId="0" applyFont="1" applyFill="1" applyBorder="1" applyAlignment="1">
      <alignment vertical="center"/>
    </xf>
    <xf numFmtId="0" fontId="10" fillId="5" borderId="32" xfId="0" applyFont="1" applyFill="1" applyBorder="1" applyAlignment="1">
      <alignment vertical="center"/>
    </xf>
    <xf numFmtId="0" fontId="10" fillId="5" borderId="57" xfId="0" applyFont="1" applyFill="1" applyBorder="1" applyAlignment="1">
      <alignment vertical="center"/>
    </xf>
    <xf numFmtId="0" fontId="1" fillId="5" borderId="32" xfId="0" applyFont="1" applyFill="1" applyBorder="1"/>
    <xf numFmtId="0" fontId="1" fillId="5" borderId="57" xfId="0" applyFont="1" applyFill="1" applyBorder="1"/>
    <xf numFmtId="0" fontId="6" fillId="5" borderId="57" xfId="0" applyFont="1" applyFill="1" applyBorder="1"/>
    <xf numFmtId="0" fontId="1" fillId="6" borderId="32" xfId="0" applyFont="1" applyFill="1" applyBorder="1"/>
    <xf numFmtId="0" fontId="1" fillId="6" borderId="57" xfId="0" applyFont="1" applyFill="1" applyBorder="1"/>
    <xf numFmtId="0" fontId="6" fillId="6" borderId="32" xfId="0" applyFont="1" applyFill="1" applyBorder="1"/>
    <xf numFmtId="0" fontId="6" fillId="6" borderId="57" xfId="0" applyFont="1" applyFill="1" applyBorder="1"/>
    <xf numFmtId="0" fontId="1" fillId="15" borderId="5" xfId="0" applyFont="1" applyFill="1" applyBorder="1"/>
    <xf numFmtId="0" fontId="1" fillId="12" borderId="32" xfId="0" applyFont="1" applyFill="1" applyBorder="1"/>
    <xf numFmtId="0" fontId="1" fillId="12" borderId="57" xfId="0" applyFont="1" applyFill="1" applyBorder="1"/>
    <xf numFmtId="0" fontId="16" fillId="16" borderId="5" xfId="0" applyFont="1" applyFill="1" applyBorder="1"/>
    <xf numFmtId="0" fontId="6" fillId="17" borderId="57" xfId="0" applyFont="1" applyFill="1" applyBorder="1"/>
    <xf numFmtId="0" fontId="8" fillId="17" borderId="63" xfId="0" applyFont="1" applyFill="1" applyBorder="1"/>
    <xf numFmtId="0" fontId="1" fillId="2" borderId="55" xfId="0" applyFont="1" applyFill="1" applyBorder="1"/>
    <xf numFmtId="0" fontId="1" fillId="18" borderId="32" xfId="0" applyFont="1" applyFill="1" applyBorder="1"/>
    <xf numFmtId="0" fontId="15" fillId="18" borderId="57" xfId="0" applyFont="1" applyFill="1" applyBorder="1"/>
    <xf numFmtId="0" fontId="1" fillId="2" borderId="5" xfId="0" applyFont="1" applyFill="1" applyBorder="1" applyAlignment="1">
      <alignment horizontal="center"/>
    </xf>
    <xf numFmtId="0" fontId="1" fillId="5" borderId="33" xfId="0" applyFont="1" applyFill="1" applyBorder="1"/>
    <xf numFmtId="0" fontId="1" fillId="6" borderId="33" xfId="0" applyFont="1" applyFill="1" applyBorder="1"/>
    <xf numFmtId="0" fontId="1" fillId="2" borderId="64" xfId="0" applyFont="1" applyFill="1" applyBorder="1"/>
    <xf numFmtId="0" fontId="1" fillId="12" borderId="33" xfId="0" applyFont="1" applyFill="1" applyBorder="1"/>
    <xf numFmtId="0" fontId="15" fillId="0" borderId="0" xfId="0" applyFont="1"/>
    <xf numFmtId="0" fontId="1" fillId="12" borderId="41" xfId="0" applyFont="1" applyFill="1" applyBorder="1"/>
    <xf numFmtId="0" fontId="1" fillId="2" borderId="38" xfId="0" applyFont="1" applyFill="1" applyBorder="1"/>
    <xf numFmtId="0" fontId="1" fillId="2" borderId="41" xfId="0" applyFont="1" applyFill="1" applyBorder="1"/>
    <xf numFmtId="0" fontId="1" fillId="2" borderId="36" xfId="0" applyFont="1" applyFill="1" applyBorder="1"/>
    <xf numFmtId="0" fontId="15" fillId="2" borderId="32" xfId="0" applyFont="1" applyFill="1" applyBorder="1"/>
    <xf numFmtId="0" fontId="12" fillId="2" borderId="32" xfId="0" applyFont="1" applyFill="1" applyBorder="1" applyAlignment="1">
      <alignment vertical="center"/>
    </xf>
    <xf numFmtId="0" fontId="12" fillId="2" borderId="26" xfId="0" applyFont="1" applyFill="1" applyBorder="1" applyAlignment="1">
      <alignment vertical="center"/>
    </xf>
    <xf numFmtId="0" fontId="1" fillId="5" borderId="1" xfId="0" applyFont="1" applyFill="1" applyBorder="1"/>
    <xf numFmtId="0" fontId="1" fillId="6" borderId="2" xfId="0" applyFont="1" applyFill="1" applyBorder="1"/>
    <xf numFmtId="0" fontId="1" fillId="7" borderId="2" xfId="0" applyFont="1" applyFill="1" applyBorder="1"/>
    <xf numFmtId="0" fontId="1" fillId="12" borderId="2" xfId="0" applyFont="1" applyFill="1" applyBorder="1"/>
    <xf numFmtId="0" fontId="1" fillId="12" borderId="3" xfId="0" applyFont="1" applyFill="1" applyBorder="1"/>
    <xf numFmtId="17" fontId="1" fillId="21" borderId="32" xfId="0" applyNumberFormat="1" applyFont="1" applyFill="1" applyBorder="1"/>
    <xf numFmtId="0" fontId="1" fillId="21" borderId="32" xfId="0" applyFont="1" applyFill="1" applyBorder="1"/>
    <xf numFmtId="0" fontId="1" fillId="21" borderId="32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1" fontId="1" fillId="2" borderId="32" xfId="0" applyNumberFormat="1" applyFont="1" applyFill="1" applyBorder="1"/>
    <xf numFmtId="0" fontId="15" fillId="2" borderId="6" xfId="0" applyFont="1" applyFill="1" applyBorder="1"/>
    <xf numFmtId="0" fontId="12" fillId="2" borderId="6" xfId="0" applyFont="1" applyFill="1" applyBorder="1" applyAlignment="1">
      <alignment vertical="center"/>
    </xf>
    <xf numFmtId="43" fontId="1" fillId="0" borderId="0" xfId="0" applyNumberFormat="1" applyFont="1" applyAlignment="1">
      <alignment horizontal="center" vertical="center"/>
    </xf>
    <xf numFmtId="0" fontId="6" fillId="21" borderId="37" xfId="0" applyFont="1" applyFill="1" applyBorder="1" applyAlignment="1">
      <alignment horizontal="center"/>
    </xf>
    <xf numFmtId="0" fontId="6" fillId="21" borderId="37" xfId="0" applyFont="1" applyFill="1" applyBorder="1"/>
    <xf numFmtId="1" fontId="6" fillId="21" borderId="37" xfId="0" applyNumberFormat="1" applyFont="1" applyFill="1" applyBorder="1"/>
    <xf numFmtId="0" fontId="1" fillId="21" borderId="37" xfId="0" applyFont="1" applyFill="1" applyBorder="1"/>
    <xf numFmtId="0" fontId="1" fillId="2" borderId="71" xfId="0" applyFont="1" applyFill="1" applyBorder="1"/>
    <xf numFmtId="0" fontId="6" fillId="2" borderId="32" xfId="0" applyFont="1" applyFill="1" applyBorder="1"/>
    <xf numFmtId="0" fontId="6" fillId="22" borderId="32" xfId="0" applyFont="1" applyFill="1" applyBorder="1"/>
    <xf numFmtId="17" fontId="1" fillId="2" borderId="1" xfId="0" applyNumberFormat="1" applyFont="1" applyFill="1" applyBorder="1"/>
    <xf numFmtId="17" fontId="1" fillId="2" borderId="2" xfId="0" applyNumberFormat="1" applyFont="1" applyFill="1" applyBorder="1"/>
    <xf numFmtId="0" fontId="1" fillId="8" borderId="4" xfId="0" applyFont="1" applyFill="1" applyBorder="1"/>
    <xf numFmtId="0" fontId="1" fillId="8" borderId="5" xfId="0" applyFont="1" applyFill="1" applyBorder="1"/>
    <xf numFmtId="0" fontId="15" fillId="8" borderId="6" xfId="0" applyFont="1" applyFill="1" applyBorder="1"/>
    <xf numFmtId="0" fontId="12" fillId="8" borderId="6" xfId="0" applyFont="1" applyFill="1" applyBorder="1" applyAlignment="1">
      <alignment vertical="center"/>
    </xf>
    <xf numFmtId="0" fontId="1" fillId="3" borderId="4" xfId="0" applyFont="1" applyFill="1" applyBorder="1"/>
    <xf numFmtId="0" fontId="1" fillId="3" borderId="5" xfId="0" applyFont="1" applyFill="1" applyBorder="1"/>
    <xf numFmtId="0" fontId="12" fillId="3" borderId="6" xfId="0" applyFont="1" applyFill="1" applyBorder="1" applyAlignment="1">
      <alignment vertical="center"/>
    </xf>
    <xf numFmtId="0" fontId="1" fillId="4" borderId="4" xfId="0" applyFont="1" applyFill="1" applyBorder="1"/>
    <xf numFmtId="1" fontId="1" fillId="4" borderId="5" xfId="0" applyNumberFormat="1" applyFont="1" applyFill="1" applyBorder="1"/>
    <xf numFmtId="0" fontId="1" fillId="4" borderId="6" xfId="0" applyFont="1" applyFill="1" applyBorder="1"/>
    <xf numFmtId="0" fontId="1" fillId="9" borderId="4" xfId="0" applyFont="1" applyFill="1" applyBorder="1"/>
    <xf numFmtId="0" fontId="1" fillId="9" borderId="5" xfId="0" applyFont="1" applyFill="1" applyBorder="1"/>
    <xf numFmtId="0" fontId="1" fillId="9" borderId="6" xfId="0" applyFont="1" applyFill="1" applyBorder="1"/>
    <xf numFmtId="0" fontId="1" fillId="3" borderId="6" xfId="0" applyFont="1" applyFill="1" applyBorder="1"/>
    <xf numFmtId="3" fontId="1" fillId="3" borderId="5" xfId="0" applyNumberFormat="1" applyFont="1" applyFill="1" applyBorder="1"/>
    <xf numFmtId="0" fontId="1" fillId="8" borderId="6" xfId="0" applyFont="1" applyFill="1" applyBorder="1"/>
    <xf numFmtId="1" fontId="1" fillId="3" borderId="5" xfId="0" applyNumberFormat="1" applyFont="1" applyFill="1" applyBorder="1"/>
    <xf numFmtId="0" fontId="1" fillId="23" borderId="4" xfId="0" applyFont="1" applyFill="1" applyBorder="1"/>
    <xf numFmtId="0" fontId="1" fillId="23" borderId="5" xfId="0" applyFont="1" applyFill="1" applyBorder="1"/>
    <xf numFmtId="0" fontId="1" fillId="23" borderId="6" xfId="0" applyFont="1" applyFill="1" applyBorder="1"/>
    <xf numFmtId="0" fontId="1" fillId="23" borderId="18" xfId="0" applyFont="1" applyFill="1" applyBorder="1"/>
    <xf numFmtId="0" fontId="1" fillId="23" borderId="19" xfId="0" applyFont="1" applyFill="1" applyBorder="1"/>
    <xf numFmtId="0" fontId="1" fillId="23" borderId="20" xfId="0" applyFont="1" applyFill="1" applyBorder="1"/>
    <xf numFmtId="0" fontId="6" fillId="0" borderId="32" xfId="0" applyFont="1" applyBorder="1" applyAlignment="1">
      <alignment vertical="center"/>
    </xf>
    <xf numFmtId="0" fontId="12" fillId="2" borderId="32" xfId="0" applyFont="1" applyFill="1" applyBorder="1" applyAlignment="1">
      <alignment horizontal="left" vertical="center"/>
    </xf>
    <xf numFmtId="0" fontId="18" fillId="2" borderId="32" xfId="0" applyFont="1" applyFill="1" applyBorder="1"/>
    <xf numFmtId="0" fontId="1" fillId="0" borderId="32" xfId="0" applyFont="1" applyBorder="1"/>
    <xf numFmtId="0" fontId="6" fillId="2" borderId="5" xfId="0" applyFont="1" applyFill="1" applyBorder="1" applyAlignment="1">
      <alignment horizontal="center"/>
    </xf>
    <xf numFmtId="0" fontId="19" fillId="4" borderId="5" xfId="0" applyFont="1" applyFill="1" applyBorder="1"/>
    <xf numFmtId="0" fontId="19" fillId="2" borderId="5" xfId="0" applyFont="1" applyFill="1" applyBorder="1"/>
    <xf numFmtId="0" fontId="19" fillId="2" borderId="5" xfId="0" applyFont="1" applyFill="1" applyBorder="1" applyAlignment="1">
      <alignment vertical="center"/>
    </xf>
    <xf numFmtId="0" fontId="12" fillId="2" borderId="5" xfId="0" applyFont="1" applyFill="1" applyBorder="1" applyAlignment="1">
      <alignment horizontal="left" vertical="center"/>
    </xf>
    <xf numFmtId="0" fontId="18" fillId="2" borderId="5" xfId="0" applyFont="1" applyFill="1" applyBorder="1"/>
    <xf numFmtId="0" fontId="1" fillId="0" borderId="81" xfId="0" applyFont="1" applyBorder="1"/>
    <xf numFmtId="0" fontId="6" fillId="15" borderId="5" xfId="0" applyFont="1" applyFill="1" applyBorder="1" applyAlignment="1">
      <alignment horizontal="center"/>
    </xf>
    <xf numFmtId="0" fontId="1" fillId="2" borderId="82" xfId="0" applyFont="1" applyFill="1" applyBorder="1"/>
    <xf numFmtId="0" fontId="10" fillId="2" borderId="5" xfId="0" applyFont="1" applyFill="1" applyBorder="1" applyAlignment="1">
      <alignment horizontal="right" vertical="center"/>
    </xf>
    <xf numFmtId="0" fontId="1" fillId="2" borderId="83" xfId="0" applyFont="1" applyFill="1" applyBorder="1"/>
    <xf numFmtId="0" fontId="1" fillId="2" borderId="5" xfId="0" applyFont="1" applyFill="1" applyBorder="1" applyAlignment="1">
      <alignment horizontal="right"/>
    </xf>
    <xf numFmtId="0" fontId="1" fillId="2" borderId="84" xfId="0" applyFont="1" applyFill="1" applyBorder="1"/>
    <xf numFmtId="0" fontId="1" fillId="0" borderId="85" xfId="0" applyFont="1" applyBorder="1"/>
    <xf numFmtId="0" fontId="1" fillId="2" borderId="86" xfId="0" applyFont="1" applyFill="1" applyBorder="1"/>
    <xf numFmtId="0" fontId="1" fillId="2" borderId="87" xfId="0" applyFont="1" applyFill="1" applyBorder="1"/>
    <xf numFmtId="0" fontId="1" fillId="2" borderId="88" xfId="0" applyFont="1" applyFill="1" applyBorder="1"/>
    <xf numFmtId="0" fontId="1" fillId="2" borderId="89" xfId="0" applyFont="1" applyFill="1" applyBorder="1"/>
    <xf numFmtId="0" fontId="1" fillId="2" borderId="63" xfId="0" applyFont="1" applyFill="1" applyBorder="1"/>
    <xf numFmtId="0" fontId="1" fillId="27" borderId="55" xfId="0" applyFont="1" applyFill="1" applyBorder="1"/>
    <xf numFmtId="0" fontId="1" fillId="5" borderId="5" xfId="0" applyFont="1" applyFill="1" applyBorder="1"/>
    <xf numFmtId="0" fontId="1" fillId="5" borderId="54" xfId="0" applyFont="1" applyFill="1" applyBorder="1"/>
    <xf numFmtId="0" fontId="1" fillId="5" borderId="54" xfId="0" applyFont="1" applyFill="1" applyBorder="1" applyAlignment="1">
      <alignment horizontal="left"/>
    </xf>
    <xf numFmtId="0" fontId="1" fillId="5" borderId="55" xfId="0" applyFont="1" applyFill="1" applyBorder="1"/>
    <xf numFmtId="0" fontId="1" fillId="2" borderId="54" xfId="0" applyFont="1" applyFill="1" applyBorder="1" applyAlignment="1">
      <alignment horizontal="left"/>
    </xf>
    <xf numFmtId="0" fontId="15" fillId="2" borderId="3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right"/>
    </xf>
    <xf numFmtId="0" fontId="1" fillId="29" borderId="32" xfId="0" applyFont="1" applyFill="1" applyBorder="1"/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right" vertical="center"/>
    </xf>
    <xf numFmtId="0" fontId="12" fillId="2" borderId="4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1" fillId="29" borderId="32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6" fillId="2" borderId="6" xfId="0" applyFont="1" applyFill="1" applyBorder="1"/>
    <xf numFmtId="0" fontId="1" fillId="29" borderId="37" xfId="0" applyFont="1" applyFill="1" applyBorder="1"/>
    <xf numFmtId="0" fontId="8" fillId="2" borderId="20" xfId="0" applyFont="1" applyFill="1" applyBorder="1"/>
    <xf numFmtId="0" fontId="6" fillId="2" borderId="32" xfId="0" applyFont="1" applyFill="1" applyBorder="1" applyAlignment="1">
      <alignment vertical="center"/>
    </xf>
    <xf numFmtId="0" fontId="6" fillId="2" borderId="32" xfId="0" applyFont="1" applyFill="1" applyBorder="1" applyAlignment="1">
      <alignment horizontal="center" vertical="center"/>
    </xf>
    <xf numFmtId="0" fontId="6" fillId="0" borderId="66" xfId="0" applyFont="1" applyBorder="1" applyAlignment="1">
      <alignment vertical="center"/>
    </xf>
    <xf numFmtId="0" fontId="6" fillId="0" borderId="80" xfId="0" applyFont="1" applyBorder="1" applyAlignment="1">
      <alignment vertical="center"/>
    </xf>
    <xf numFmtId="0" fontId="10" fillId="29" borderId="32" xfId="0" applyFont="1" applyFill="1" applyBorder="1" applyAlignment="1">
      <alignment vertical="center"/>
    </xf>
    <xf numFmtId="0" fontId="12" fillId="29" borderId="31" xfId="0" applyFont="1" applyFill="1" applyBorder="1" applyAlignment="1">
      <alignment vertical="center"/>
    </xf>
    <xf numFmtId="0" fontId="1" fillId="24" borderId="32" xfId="0" applyFont="1" applyFill="1" applyBorder="1"/>
    <xf numFmtId="0" fontId="10" fillId="2" borderId="102" xfId="0" applyFont="1" applyFill="1" applyBorder="1" applyAlignment="1">
      <alignment vertical="center"/>
    </xf>
    <xf numFmtId="43" fontId="1" fillId="2" borderId="57" xfId="0" applyNumberFormat="1" applyFont="1" applyFill="1" applyBorder="1"/>
    <xf numFmtId="0" fontId="10" fillId="2" borderId="31" xfId="0" applyFont="1" applyFill="1" applyBorder="1" applyAlignment="1">
      <alignment vertical="center"/>
    </xf>
    <xf numFmtId="0" fontId="12" fillId="2" borderId="31" xfId="0" applyFont="1" applyFill="1" applyBorder="1" applyAlignment="1">
      <alignment vertical="center"/>
    </xf>
    <xf numFmtId="43" fontId="1" fillId="2" borderId="32" xfId="0" applyNumberFormat="1" applyFont="1" applyFill="1" applyBorder="1"/>
    <xf numFmtId="0" fontId="10" fillId="2" borderId="88" xfId="0" applyFont="1" applyFill="1" applyBorder="1" applyAlignment="1">
      <alignment vertical="center"/>
    </xf>
    <xf numFmtId="43" fontId="1" fillId="2" borderId="63" xfId="0" applyNumberFormat="1" applyFont="1" applyFill="1" applyBorder="1"/>
    <xf numFmtId="0" fontId="6" fillId="19" borderId="32" xfId="0" applyFont="1" applyFill="1" applyBorder="1"/>
    <xf numFmtId="0" fontId="6" fillId="17" borderId="32" xfId="0" applyFont="1" applyFill="1" applyBorder="1"/>
    <xf numFmtId="0" fontId="1" fillId="13" borderId="32" xfId="0" applyFont="1" applyFill="1" applyBorder="1"/>
    <xf numFmtId="0" fontId="1" fillId="31" borderId="32" xfId="0" applyFont="1" applyFill="1" applyBorder="1"/>
    <xf numFmtId="0" fontId="1" fillId="5" borderId="4" xfId="0" applyFont="1" applyFill="1" applyBorder="1"/>
    <xf numFmtId="0" fontId="1" fillId="6" borderId="5" xfId="0" applyFont="1" applyFill="1" applyBorder="1"/>
    <xf numFmtId="0" fontId="1" fillId="7" borderId="5" xfId="0" applyFont="1" applyFill="1" applyBorder="1"/>
    <xf numFmtId="0" fontId="1" fillId="12" borderId="5" xfId="0" applyFont="1" applyFill="1" applyBorder="1"/>
    <xf numFmtId="0" fontId="17" fillId="3" borderId="6" xfId="0" applyFont="1" applyFill="1" applyBorder="1"/>
    <xf numFmtId="0" fontId="17" fillId="4" borderId="6" xfId="0" applyFont="1" applyFill="1" applyBorder="1" applyAlignment="1">
      <alignment horizontal="right"/>
    </xf>
    <xf numFmtId="10" fontId="20" fillId="9" borderId="6" xfId="0" applyNumberFormat="1" applyFont="1" applyFill="1" applyBorder="1" applyAlignment="1">
      <alignment horizontal="right" vertical="center"/>
    </xf>
    <xf numFmtId="0" fontId="6" fillId="2" borderId="4" xfId="0" applyFont="1" applyFill="1" applyBorder="1"/>
    <xf numFmtId="0" fontId="10" fillId="3" borderId="6" xfId="0" applyFont="1" applyFill="1" applyBorder="1" applyAlignment="1">
      <alignment vertical="center"/>
    </xf>
    <xf numFmtId="0" fontId="1" fillId="0" borderId="84" xfId="0" applyFont="1" applyBorder="1"/>
    <xf numFmtId="0" fontId="1" fillId="0" borderId="86" xfId="0" applyFont="1" applyBorder="1"/>
    <xf numFmtId="0" fontId="1" fillId="0" borderId="99" xfId="0" applyFont="1" applyBorder="1"/>
    <xf numFmtId="0" fontId="1" fillId="0" borderId="102" xfId="0" applyFont="1" applyBorder="1"/>
    <xf numFmtId="0" fontId="1" fillId="0" borderId="57" xfId="0" applyFont="1" applyBorder="1"/>
    <xf numFmtId="0" fontId="1" fillId="0" borderId="88" xfId="0" applyFont="1" applyBorder="1"/>
    <xf numFmtId="0" fontId="1" fillId="0" borderId="89" xfId="0" applyFont="1" applyBorder="1"/>
    <xf numFmtId="0" fontId="1" fillId="0" borderId="63" xfId="0" applyFont="1" applyBorder="1"/>
    <xf numFmtId="0" fontId="1" fillId="0" borderId="106" xfId="0" applyFont="1" applyBorder="1"/>
    <xf numFmtId="0" fontId="6" fillId="9" borderId="4" xfId="0" applyFont="1" applyFill="1" applyBorder="1"/>
    <xf numFmtId="0" fontId="6" fillId="9" borderId="5" xfId="0" applyFont="1" applyFill="1" applyBorder="1"/>
    <xf numFmtId="0" fontId="6" fillId="9" borderId="6" xfId="0" applyFont="1" applyFill="1" applyBorder="1"/>
    <xf numFmtId="9" fontId="6" fillId="9" borderId="6" xfId="0" applyNumberFormat="1" applyFont="1" applyFill="1" applyBorder="1"/>
    <xf numFmtId="0" fontId="8" fillId="2" borderId="18" xfId="0" applyFont="1" applyFill="1" applyBorder="1"/>
    <xf numFmtId="0" fontId="8" fillId="2" borderId="19" xfId="0" applyFont="1" applyFill="1" applyBorder="1"/>
    <xf numFmtId="0" fontId="1" fillId="0" borderId="108" xfId="0" applyFont="1" applyBorder="1"/>
    <xf numFmtId="0" fontId="1" fillId="0" borderId="12" xfId="0" applyFont="1" applyBorder="1"/>
    <xf numFmtId="0" fontId="1" fillId="5" borderId="82" xfId="0" applyFont="1" applyFill="1" applyBorder="1"/>
    <xf numFmtId="0" fontId="1" fillId="0" borderId="87" xfId="0" applyFont="1" applyBorder="1"/>
    <xf numFmtId="0" fontId="1" fillId="5" borderId="109" xfId="0" applyFont="1" applyFill="1" applyBorder="1"/>
    <xf numFmtId="0" fontId="1" fillId="0" borderId="111" xfId="0" applyFont="1" applyBorder="1"/>
    <xf numFmtId="0" fontId="1" fillId="0" borderId="113" xfId="0" applyFont="1" applyBorder="1"/>
    <xf numFmtId="0" fontId="1" fillId="0" borderId="14" xfId="0" applyFont="1" applyBorder="1"/>
    <xf numFmtId="0" fontId="1" fillId="0" borderId="114" xfId="0" applyFont="1" applyBorder="1"/>
    <xf numFmtId="0" fontId="1" fillId="0" borderId="62" xfId="0" applyFont="1" applyBorder="1"/>
    <xf numFmtId="0" fontId="1" fillId="0" borderId="98" xfId="0" applyFont="1" applyBorder="1"/>
    <xf numFmtId="0" fontId="1" fillId="0" borderId="56" xfId="0" applyFont="1" applyBorder="1"/>
    <xf numFmtId="0" fontId="1" fillId="0" borderId="60" xfId="0" applyFont="1" applyBorder="1"/>
    <xf numFmtId="0" fontId="1" fillId="0" borderId="115" xfId="0" applyFont="1" applyBorder="1"/>
    <xf numFmtId="0" fontId="1" fillId="0" borderId="118" xfId="0" applyFont="1" applyBorder="1"/>
    <xf numFmtId="0" fontId="1" fillId="0" borderId="80" xfId="0" applyFont="1" applyBorder="1"/>
    <xf numFmtId="0" fontId="1" fillId="0" borderId="119" xfId="0" applyFont="1" applyBorder="1"/>
    <xf numFmtId="0" fontId="1" fillId="32" borderId="5" xfId="0" applyFont="1" applyFill="1" applyBorder="1"/>
    <xf numFmtId="0" fontId="21" fillId="0" borderId="0" xfId="0" applyFont="1"/>
    <xf numFmtId="0" fontId="1" fillId="33" borderId="5" xfId="0" applyFont="1" applyFill="1" applyBorder="1" applyAlignment="1">
      <alignment horizontal="center"/>
    </xf>
    <xf numFmtId="0" fontId="22" fillId="32" borderId="5" xfId="0" applyFont="1" applyFill="1" applyBorder="1"/>
    <xf numFmtId="0" fontId="9" fillId="32" borderId="5" xfId="0" applyFont="1" applyFill="1" applyBorder="1"/>
    <xf numFmtId="0" fontId="1" fillId="33" borderId="5" xfId="0" applyFont="1" applyFill="1" applyBorder="1"/>
    <xf numFmtId="0" fontId="15" fillId="2" borderId="5" xfId="0" applyFont="1" applyFill="1" applyBorder="1"/>
    <xf numFmtId="0" fontId="1" fillId="0" borderId="104" xfId="0" applyFont="1" applyBorder="1"/>
    <xf numFmtId="0" fontId="15" fillId="0" borderId="98" xfId="0" applyFont="1" applyBorder="1"/>
    <xf numFmtId="0" fontId="1" fillId="21" borderId="5" xfId="0" applyFont="1" applyFill="1" applyBorder="1"/>
    <xf numFmtId="0" fontId="1" fillId="21" borderId="6" xfId="0" applyFont="1" applyFill="1" applyBorder="1"/>
    <xf numFmtId="1" fontId="1" fillId="0" borderId="0" xfId="0" applyNumberFormat="1" applyFont="1"/>
    <xf numFmtId="0" fontId="1" fillId="0" borderId="120" xfId="0" applyFont="1" applyBorder="1"/>
    <xf numFmtId="0" fontId="1" fillId="0" borderId="121" xfId="0" applyFont="1" applyBorder="1"/>
    <xf numFmtId="0" fontId="15" fillId="2" borderId="2" xfId="0" applyFont="1" applyFill="1" applyBorder="1"/>
    <xf numFmtId="0" fontId="6" fillId="20" borderId="32" xfId="0" applyFont="1" applyFill="1" applyBorder="1"/>
    <xf numFmtId="0" fontId="1" fillId="35" borderId="32" xfId="0" applyFont="1" applyFill="1" applyBorder="1"/>
    <xf numFmtId="0" fontId="1" fillId="29" borderId="57" xfId="0" applyFont="1" applyFill="1" applyBorder="1"/>
    <xf numFmtId="0" fontId="1" fillId="29" borderId="122" xfId="0" applyFont="1" applyFill="1" applyBorder="1"/>
    <xf numFmtId="43" fontId="1" fillId="2" borderId="5" xfId="0" applyNumberFormat="1" applyFont="1" applyFill="1" applyBorder="1"/>
    <xf numFmtId="43" fontId="17" fillId="2" borderId="5" xfId="0" applyNumberFormat="1" applyFont="1" applyFill="1" applyBorder="1"/>
    <xf numFmtId="0" fontId="14" fillId="2" borderId="5" xfId="0" applyFont="1" applyFill="1" applyBorder="1"/>
    <xf numFmtId="0" fontId="1" fillId="2" borderId="21" xfId="0" applyFont="1" applyFill="1" applyBorder="1" applyAlignment="1">
      <alignment horizontal="left"/>
    </xf>
    <xf numFmtId="0" fontId="3" fillId="0" borderId="22" xfId="0" applyFont="1" applyBorder="1"/>
    <xf numFmtId="0" fontId="3" fillId="0" borderId="25" xfId="0" applyFont="1" applyBorder="1"/>
    <xf numFmtId="43" fontId="1" fillId="0" borderId="0" xfId="0" applyNumberFormat="1" applyFont="1" applyAlignment="1">
      <alignment horizontal="center" vertical="center"/>
    </xf>
    <xf numFmtId="0" fontId="0" fillId="0" borderId="0" xfId="0"/>
    <xf numFmtId="0" fontId="1" fillId="2" borderId="68" xfId="0" applyFont="1" applyFill="1" applyBorder="1" applyAlignment="1">
      <alignment horizontal="left"/>
    </xf>
    <xf numFmtId="0" fontId="3" fillId="0" borderId="69" xfId="0" applyFont="1" applyBorder="1"/>
    <xf numFmtId="0" fontId="3" fillId="0" borderId="70" xfId="0" applyFont="1" applyBorder="1"/>
    <xf numFmtId="0" fontId="7" fillId="2" borderId="21" xfId="0" applyFont="1" applyFill="1" applyBorder="1" applyAlignment="1">
      <alignment horizontal="center"/>
    </xf>
    <xf numFmtId="0" fontId="3" fillId="0" borderId="23" xfId="0" applyFont="1" applyBorder="1"/>
    <xf numFmtId="0" fontId="1" fillId="2" borderId="24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34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3" fillId="0" borderId="14" xfId="0" applyFont="1" applyBorder="1"/>
    <xf numFmtId="0" fontId="6" fillId="2" borderId="72" xfId="0" applyFont="1" applyFill="1" applyBorder="1" applyAlignment="1">
      <alignment horizontal="center"/>
    </xf>
    <xf numFmtId="0" fontId="3" fillId="0" borderId="73" xfId="0" applyFont="1" applyBorder="1"/>
    <xf numFmtId="0" fontId="3" fillId="0" borderId="74" xfId="0" applyFont="1" applyBorder="1"/>
    <xf numFmtId="17" fontId="1" fillId="2" borderId="21" xfId="0" applyNumberFormat="1" applyFont="1" applyFill="1" applyBorder="1" applyAlignment="1">
      <alignment horizontal="center"/>
    </xf>
    <xf numFmtId="0" fontId="1" fillId="2" borderId="56" xfId="0" applyFont="1" applyFill="1" applyBorder="1" applyAlignment="1">
      <alignment horizontal="left"/>
    </xf>
    <xf numFmtId="0" fontId="3" fillId="0" borderId="13" xfId="0" applyFont="1" applyBorder="1"/>
    <xf numFmtId="0" fontId="3" fillId="0" borderId="75" xfId="0" applyFont="1" applyBorder="1"/>
    <xf numFmtId="0" fontId="6" fillId="22" borderId="56" xfId="0" applyFont="1" applyFill="1" applyBorder="1" applyAlignment="1">
      <alignment horizontal="left"/>
    </xf>
    <xf numFmtId="0" fontId="1" fillId="2" borderId="60" xfId="0" applyFont="1" applyFill="1" applyBorder="1" applyAlignment="1">
      <alignment horizontal="left"/>
    </xf>
    <xf numFmtId="0" fontId="3" fillId="0" borderId="61" xfId="0" applyFont="1" applyBorder="1"/>
    <xf numFmtId="0" fontId="3" fillId="0" borderId="76" xfId="0" applyFont="1" applyBorder="1"/>
    <xf numFmtId="0" fontId="1" fillId="2" borderId="34" xfId="0" applyFont="1" applyFill="1" applyBorder="1" applyAlignment="1">
      <alignment horizontal="center"/>
    </xf>
    <xf numFmtId="0" fontId="1" fillId="2" borderId="77" xfId="0" applyFont="1" applyFill="1" applyBorder="1" applyAlignment="1">
      <alignment horizontal="center"/>
    </xf>
    <xf numFmtId="0" fontId="3" fillId="0" borderId="78" xfId="0" applyFont="1" applyBorder="1"/>
    <xf numFmtId="0" fontId="3" fillId="0" borderId="79" xfId="0" applyFont="1" applyBorder="1"/>
    <xf numFmtId="0" fontId="1" fillId="26" borderId="90" xfId="0" applyFont="1" applyFill="1" applyBorder="1" applyAlignment="1">
      <alignment horizontal="center"/>
    </xf>
    <xf numFmtId="17" fontId="1" fillId="2" borderId="68" xfId="0" applyNumberFormat="1" applyFont="1" applyFill="1" applyBorder="1" applyAlignment="1">
      <alignment horizontal="center"/>
    </xf>
    <xf numFmtId="0" fontId="1" fillId="2" borderId="91" xfId="0" applyFont="1" applyFill="1" applyBorder="1" applyAlignment="1">
      <alignment horizontal="center"/>
    </xf>
    <xf numFmtId="0" fontId="3" fillId="0" borderId="92" xfId="0" applyFont="1" applyBorder="1"/>
    <xf numFmtId="0" fontId="6" fillId="24" borderId="7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7" fontId="1" fillId="13" borderId="24" xfId="0" applyNumberFormat="1" applyFont="1" applyFill="1" applyBorder="1" applyAlignment="1">
      <alignment horizontal="center"/>
    </xf>
    <xf numFmtId="17" fontId="1" fillId="24" borderId="21" xfId="0" applyNumberFormat="1" applyFont="1" applyFill="1" applyBorder="1" applyAlignment="1">
      <alignment horizontal="center"/>
    </xf>
    <xf numFmtId="0" fontId="1" fillId="25" borderId="21" xfId="0" applyFont="1" applyFill="1" applyBorder="1" applyAlignment="1">
      <alignment horizontal="center"/>
    </xf>
    <xf numFmtId="0" fontId="3" fillId="0" borderId="65" xfId="0" applyFont="1" applyBorder="1"/>
    <xf numFmtId="0" fontId="1" fillId="2" borderId="56" xfId="0" applyFont="1" applyFill="1" applyBorder="1" applyAlignment="1">
      <alignment horizontal="center"/>
    </xf>
    <xf numFmtId="0" fontId="1" fillId="5" borderId="56" xfId="0" applyFont="1" applyFill="1" applyBorder="1" applyAlignment="1">
      <alignment horizontal="left"/>
    </xf>
    <xf numFmtId="0" fontId="1" fillId="5" borderId="56" xfId="0" applyFont="1" applyFill="1" applyBorder="1" applyAlignment="1">
      <alignment horizontal="center"/>
    </xf>
    <xf numFmtId="0" fontId="6" fillId="5" borderId="56" xfId="0" applyFont="1" applyFill="1" applyBorder="1" applyAlignment="1">
      <alignment horizontal="center"/>
    </xf>
    <xf numFmtId="0" fontId="1" fillId="2" borderId="58" xfId="0" applyFont="1" applyFill="1" applyBorder="1" applyAlignment="1">
      <alignment horizontal="left"/>
    </xf>
    <xf numFmtId="0" fontId="3" fillId="0" borderId="59" xfId="0" applyFont="1" applyBorder="1"/>
    <xf numFmtId="0" fontId="1" fillId="6" borderId="56" xfId="0" applyFont="1" applyFill="1" applyBorder="1" applyAlignment="1">
      <alignment horizontal="left"/>
    </xf>
    <xf numFmtId="0" fontId="1" fillId="6" borderId="56" xfId="0" applyFont="1" applyFill="1" applyBorder="1" applyAlignment="1">
      <alignment horizontal="center"/>
    </xf>
    <xf numFmtId="0" fontId="6" fillId="6" borderId="5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1" fillId="2" borderId="12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left"/>
    </xf>
    <xf numFmtId="0" fontId="1" fillId="5" borderId="27" xfId="0" applyFont="1" applyFill="1" applyBorder="1" applyAlignment="1">
      <alignment horizontal="center" vertical="center"/>
    </xf>
    <xf numFmtId="0" fontId="3" fillId="0" borderId="28" xfId="0" applyFont="1" applyBorder="1"/>
    <xf numFmtId="0" fontId="1" fillId="6" borderId="29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/>
    </xf>
    <xf numFmtId="0" fontId="3" fillId="0" borderId="30" xfId="0" applyFont="1" applyBorder="1"/>
    <xf numFmtId="0" fontId="1" fillId="4" borderId="24" xfId="0" applyFont="1" applyFill="1" applyBorder="1" applyAlignment="1">
      <alignment horizontal="left"/>
    </xf>
    <xf numFmtId="0" fontId="1" fillId="11" borderId="24" xfId="0" applyFont="1" applyFill="1" applyBorder="1" applyAlignment="1">
      <alignment horizontal="left"/>
    </xf>
    <xf numFmtId="0" fontId="1" fillId="0" borderId="47" xfId="0" applyFont="1" applyBorder="1" applyAlignment="1">
      <alignment horizontal="center"/>
    </xf>
    <xf numFmtId="0" fontId="3" fillId="0" borderId="48" xfId="0" applyFont="1" applyBorder="1"/>
    <xf numFmtId="0" fontId="6" fillId="10" borderId="40" xfId="0" applyFont="1" applyFill="1" applyBorder="1" applyAlignment="1">
      <alignment horizontal="center"/>
    </xf>
    <xf numFmtId="0" fontId="6" fillId="10" borderId="21" xfId="0" applyFont="1" applyFill="1" applyBorder="1" applyAlignment="1">
      <alignment horizontal="center"/>
    </xf>
    <xf numFmtId="0" fontId="6" fillId="2" borderId="51" xfId="0" applyFont="1" applyFill="1" applyBorder="1" applyAlignment="1">
      <alignment horizontal="center"/>
    </xf>
    <xf numFmtId="0" fontId="3" fillId="0" borderId="52" xfId="0" applyFont="1" applyBorder="1"/>
    <xf numFmtId="0" fontId="3" fillId="0" borderId="53" xfId="0" applyFont="1" applyBorder="1"/>
    <xf numFmtId="0" fontId="1" fillId="12" borderId="56" xfId="0" applyFont="1" applyFill="1" applyBorder="1" applyAlignment="1">
      <alignment horizontal="center"/>
    </xf>
    <xf numFmtId="0" fontId="6" fillId="17" borderId="56" xfId="0" applyFont="1" applyFill="1" applyBorder="1" applyAlignment="1">
      <alignment horizontal="center"/>
    </xf>
    <xf numFmtId="17" fontId="1" fillId="19" borderId="34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left"/>
    </xf>
    <xf numFmtId="0" fontId="8" fillId="17" borderId="60" xfId="0" applyFont="1" applyFill="1" applyBorder="1" applyAlignment="1">
      <alignment horizontal="center"/>
    </xf>
    <xf numFmtId="0" fontId="3" fillId="0" borderId="62" xfId="0" applyFont="1" applyBorder="1"/>
    <xf numFmtId="0" fontId="1" fillId="20" borderId="24" xfId="0" applyFont="1" applyFill="1" applyBorder="1" applyAlignment="1">
      <alignment horizontal="center"/>
    </xf>
    <xf numFmtId="0" fontId="1" fillId="21" borderId="12" xfId="0" applyFont="1" applyFill="1" applyBorder="1" applyAlignment="1">
      <alignment horizontal="center"/>
    </xf>
    <xf numFmtId="0" fontId="17" fillId="21" borderId="66" xfId="0" applyFont="1" applyFill="1" applyBorder="1" applyAlignment="1">
      <alignment horizontal="center" vertical="center" wrapText="1"/>
    </xf>
    <xf numFmtId="0" fontId="3" fillId="0" borderId="67" xfId="0" applyFont="1" applyBorder="1"/>
    <xf numFmtId="0" fontId="6" fillId="18" borderId="51" xfId="0" applyFont="1" applyFill="1" applyBorder="1" applyAlignment="1">
      <alignment horizontal="center"/>
    </xf>
    <xf numFmtId="0" fontId="1" fillId="18" borderId="56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left"/>
    </xf>
    <xf numFmtId="0" fontId="6" fillId="25" borderId="21" xfId="0" applyFont="1" applyFill="1" applyBorder="1" applyAlignment="1">
      <alignment horizontal="center" vertical="center"/>
    </xf>
    <xf numFmtId="0" fontId="6" fillId="2" borderId="66" xfId="0" applyFont="1" applyFill="1" applyBorder="1" applyAlignment="1">
      <alignment horizontal="center" vertical="center"/>
    </xf>
    <xf numFmtId="0" fontId="3" fillId="0" borderId="80" xfId="0" applyFont="1" applyBorder="1"/>
    <xf numFmtId="0" fontId="6" fillId="2" borderId="66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left"/>
    </xf>
    <xf numFmtId="0" fontId="6" fillId="2" borderId="94" xfId="0" applyFont="1" applyFill="1" applyBorder="1" applyAlignment="1">
      <alignment horizontal="center"/>
    </xf>
    <xf numFmtId="0" fontId="6" fillId="2" borderId="95" xfId="0" applyFont="1" applyFill="1" applyBorder="1" applyAlignment="1">
      <alignment horizontal="center"/>
    </xf>
    <xf numFmtId="0" fontId="3" fillId="0" borderId="96" xfId="0" applyFont="1" applyBorder="1"/>
    <xf numFmtId="0" fontId="6" fillId="22" borderId="51" xfId="0" applyFont="1" applyFill="1" applyBorder="1" applyAlignment="1">
      <alignment horizontal="center"/>
    </xf>
    <xf numFmtId="0" fontId="1" fillId="2" borderId="51" xfId="0" applyFont="1" applyFill="1" applyBorder="1" applyAlignment="1">
      <alignment horizontal="center"/>
    </xf>
    <xf numFmtId="0" fontId="6" fillId="2" borderId="81" xfId="0" applyFont="1" applyFill="1" applyBorder="1" applyAlignment="1">
      <alignment horizontal="center" vertical="center"/>
    </xf>
    <xf numFmtId="0" fontId="3" fillId="0" borderId="93" xfId="0" applyFont="1" applyBorder="1"/>
    <xf numFmtId="0" fontId="3" fillId="0" borderId="97" xfId="0" applyFont="1" applyBorder="1"/>
    <xf numFmtId="0" fontId="3" fillId="0" borderId="50" xfId="0" applyFont="1" applyBorder="1"/>
    <xf numFmtId="0" fontId="1" fillId="28" borderId="21" xfId="0" applyFont="1" applyFill="1" applyBorder="1" applyAlignment="1">
      <alignment horizontal="center"/>
    </xf>
    <xf numFmtId="0" fontId="12" fillId="29" borderId="56" xfId="0" applyFont="1" applyFill="1" applyBorder="1" applyAlignment="1">
      <alignment horizontal="center" vertical="center"/>
    </xf>
    <xf numFmtId="0" fontId="1" fillId="2" borderId="68" xfId="0" applyFont="1" applyFill="1" applyBorder="1" applyAlignment="1">
      <alignment horizontal="center"/>
    </xf>
    <xf numFmtId="0" fontId="1" fillId="29" borderId="21" xfId="0" applyFont="1" applyFill="1" applyBorder="1" applyAlignment="1">
      <alignment horizontal="center"/>
    </xf>
    <xf numFmtId="0" fontId="6" fillId="30" borderId="21" xfId="0" applyFont="1" applyFill="1" applyBorder="1" applyAlignment="1">
      <alignment horizontal="center"/>
    </xf>
    <xf numFmtId="0" fontId="1" fillId="6" borderId="91" xfId="0" applyFont="1" applyFill="1" applyBorder="1" applyAlignment="1">
      <alignment horizontal="center"/>
    </xf>
    <xf numFmtId="0" fontId="6" fillId="2" borderId="101" xfId="0" applyFont="1" applyFill="1" applyBorder="1" applyAlignment="1">
      <alignment horizontal="center" vertical="center"/>
    </xf>
    <xf numFmtId="0" fontId="3" fillId="0" borderId="103" xfId="0" applyFont="1" applyBorder="1"/>
    <xf numFmtId="0" fontId="1" fillId="0" borderId="85" xfId="0" applyFont="1" applyBorder="1" applyAlignment="1">
      <alignment horizontal="center"/>
    </xf>
    <xf numFmtId="0" fontId="3" fillId="0" borderId="85" xfId="0" applyFont="1" applyBorder="1"/>
    <xf numFmtId="0" fontId="3" fillId="0" borderId="104" xfId="0" applyFont="1" applyBorder="1"/>
    <xf numFmtId="0" fontId="1" fillId="0" borderId="95" xfId="0" applyFont="1" applyBorder="1" applyAlignment="1">
      <alignment horizontal="center"/>
    </xf>
    <xf numFmtId="0" fontId="3" fillId="0" borderId="105" xfId="0" applyFont="1" applyBorder="1"/>
    <xf numFmtId="0" fontId="3" fillId="0" borderId="107" xfId="0" applyFont="1" applyBorder="1"/>
    <xf numFmtId="0" fontId="1" fillId="0" borderId="77" xfId="0" applyFont="1" applyBorder="1" applyAlignment="1">
      <alignment horizontal="center"/>
    </xf>
    <xf numFmtId="0" fontId="1" fillId="0" borderId="8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66" xfId="0" applyFont="1" applyBorder="1" applyAlignment="1">
      <alignment horizontal="center" vertical="center"/>
    </xf>
    <xf numFmtId="0" fontId="15" fillId="0" borderId="116" xfId="0" applyFont="1" applyBorder="1" applyAlignment="1">
      <alignment horizontal="center" vertical="center" wrapText="1"/>
    </xf>
    <xf numFmtId="0" fontId="3" fillId="0" borderId="117" xfId="0" applyFont="1" applyBorder="1"/>
    <xf numFmtId="0" fontId="1" fillId="0" borderId="11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112" xfId="0" applyFont="1" applyBorder="1"/>
    <xf numFmtId="0" fontId="1" fillId="0" borderId="66" xfId="0" applyFont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/>
    </xf>
    <xf numFmtId="0" fontId="1" fillId="20" borderId="21" xfId="0" applyFont="1" applyFill="1" applyBorder="1" applyAlignment="1">
      <alignment horizontal="center"/>
    </xf>
    <xf numFmtId="0" fontId="1" fillId="24" borderId="24" xfId="0" applyFont="1" applyFill="1" applyBorder="1" applyAlignment="1">
      <alignment horizontal="center"/>
    </xf>
    <xf numFmtId="0" fontId="1" fillId="11" borderId="24" xfId="0" applyFont="1" applyFill="1" applyBorder="1" applyAlignment="1">
      <alignment horizontal="center"/>
    </xf>
    <xf numFmtId="0" fontId="8" fillId="2" borderId="68" xfId="0" applyFont="1" applyFill="1" applyBorder="1" applyAlignment="1">
      <alignment horizontal="center"/>
    </xf>
    <xf numFmtId="0" fontId="1" fillId="0" borderId="98" xfId="0" applyFont="1" applyBorder="1" applyAlignment="1">
      <alignment horizontal="center"/>
    </xf>
    <xf numFmtId="0" fontId="3" fillId="0" borderId="99" xfId="0" applyFont="1" applyBorder="1"/>
    <xf numFmtId="0" fontId="12" fillId="29" borderId="100" xfId="0" applyFont="1" applyFill="1" applyBorder="1" applyAlignment="1">
      <alignment horizontal="center" vertical="center"/>
    </xf>
    <xf numFmtId="0" fontId="6" fillId="29" borderId="77" xfId="0" applyFont="1" applyFill="1" applyBorder="1" applyAlignment="1">
      <alignment horizontal="right"/>
    </xf>
    <xf numFmtId="0" fontId="6" fillId="2" borderId="68" xfId="0" applyFont="1" applyFill="1" applyBorder="1" applyAlignment="1">
      <alignment horizontal="center"/>
    </xf>
    <xf numFmtId="0" fontId="6" fillId="0" borderId="66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3" fillId="0" borderId="46" xfId="0" applyFont="1" applyBorder="1"/>
    <xf numFmtId="0" fontId="1" fillId="21" borderId="24" xfId="0" applyFont="1" applyFill="1" applyBorder="1" applyAlignment="1">
      <alignment horizontal="left"/>
    </xf>
    <xf numFmtId="0" fontId="1" fillId="29" borderId="24" xfId="0" applyFont="1" applyFill="1" applyBorder="1" applyAlignment="1">
      <alignment horizontal="left"/>
    </xf>
    <xf numFmtId="0" fontId="1" fillId="20" borderId="24" xfId="0" applyFont="1" applyFill="1" applyBorder="1" applyAlignment="1">
      <alignment horizontal="left"/>
    </xf>
    <xf numFmtId="0" fontId="1" fillId="34" borderId="24" xfId="0" applyFont="1" applyFill="1" applyBorder="1" applyAlignment="1">
      <alignment horizontal="left"/>
    </xf>
    <xf numFmtId="0" fontId="6" fillId="20" borderId="95" xfId="0" applyFont="1" applyFill="1" applyBorder="1" applyAlignment="1">
      <alignment horizontal="center"/>
    </xf>
    <xf numFmtId="0" fontId="6" fillId="20" borderId="81" xfId="0" applyFont="1" applyFill="1" applyBorder="1" applyAlignment="1">
      <alignment horizontal="center" vertical="center"/>
    </xf>
    <xf numFmtId="0" fontId="6" fillId="20" borderId="94" xfId="0" applyFont="1" applyFill="1" applyBorder="1" applyAlignment="1">
      <alignment horizontal="center"/>
    </xf>
    <xf numFmtId="0" fontId="6" fillId="20" borderId="94" xfId="0" applyFont="1" applyFill="1" applyBorder="1" applyAlignment="1">
      <alignment horizontal="center" vertical="center"/>
    </xf>
    <xf numFmtId="0" fontId="6" fillId="20" borderId="116" xfId="0" applyFont="1" applyFill="1" applyBorder="1" applyAlignment="1">
      <alignment horizontal="center" vertical="center"/>
    </xf>
    <xf numFmtId="0" fontId="3" fillId="0" borderId="119" xfId="0" applyFont="1" applyBorder="1"/>
    <xf numFmtId="0" fontId="6" fillId="2" borderId="21" xfId="0" applyFont="1" applyFill="1" applyBorder="1" applyAlignment="1">
      <alignment horizontal="right"/>
    </xf>
    <xf numFmtId="0" fontId="12" fillId="2" borderId="21" xfId="0" applyFont="1" applyFill="1" applyBorder="1" applyAlignment="1">
      <alignment horizontal="center" vertical="center"/>
    </xf>
    <xf numFmtId="0" fontId="6" fillId="2" borderId="124" xfId="0" applyFont="1" applyFill="1" applyBorder="1" applyAlignment="1">
      <alignment horizontal="center" vertical="center"/>
    </xf>
    <xf numFmtId="0" fontId="3" fillId="0" borderId="127" xfId="0" applyFont="1" applyBorder="1"/>
    <xf numFmtId="0" fontId="11" fillId="2" borderId="24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1" borderId="21" xfId="0" applyFont="1" applyFill="1" applyBorder="1" applyAlignment="1">
      <alignment horizontal="center"/>
    </xf>
    <xf numFmtId="0" fontId="6" fillId="2" borderId="123" xfId="0" applyFont="1" applyFill="1" applyBorder="1" applyAlignment="1">
      <alignment horizontal="center" vertical="center"/>
    </xf>
    <xf numFmtId="0" fontId="3" fillId="0" borderId="126" xfId="0" applyFont="1" applyBorder="1"/>
    <xf numFmtId="0" fontId="6" fillId="2" borderId="124" xfId="0" applyFont="1" applyFill="1" applyBorder="1" applyAlignment="1">
      <alignment horizontal="center"/>
    </xf>
    <xf numFmtId="0" fontId="6" fillId="2" borderId="125" xfId="0" applyFont="1" applyFill="1" applyBorder="1" applyAlignment="1">
      <alignment horizontal="center" vertical="center"/>
    </xf>
    <xf numFmtId="0" fontId="3" fillId="0" borderId="128" xfId="0" applyFont="1" applyBorder="1"/>
    <xf numFmtId="0" fontId="7" fillId="2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1St Round</a:t>
            </a:r>
          </a:p>
        </c:rich>
      </c:tx>
      <c:layout>
        <c:manualLayout>
          <c:xMode val="edge"/>
          <c:yMode val="edge"/>
          <c:x val="0.47475614526549564"/>
          <c:y val="7.7339341080948448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8.0136510713938527E-2"/>
          <c:y val="0.47775698829725494"/>
          <c:w val="0.77799858351039453"/>
          <c:h val="0.3583474095441039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9D41-4EAE-A8C7-C2A73FDE7E6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sz="1000" b="1" i="0">
                        <a:solidFill>
                          <a:schemeClr val="accent1"/>
                        </a:solidFill>
                        <a:latin typeface="+mn-lt"/>
                      </a:rPr>
                      <a:t>Plucked
[PERCENTAGE]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D41-4EAE-A8C7-C2A73FDE7E6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sz="1000" b="1" i="0">
                        <a:solidFill>
                          <a:schemeClr val="accent1"/>
                        </a:solidFill>
                        <a:latin typeface="+mn-lt"/>
                      </a:rPr>
                      <a:t>Un plucked [PERCENTAGE]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9D41-4EAE-A8C7-C2A73FDE7E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Graphs!$P$23:$Q$23</c:f>
              <c:numCache>
                <c:formatCode>General</c:formatCode>
                <c:ptCount val="2"/>
                <c:pt idx="0">
                  <c:v>15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41-4EAE-A8C7-C2A73FDE7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2Nd Round</a:t>
            </a:r>
          </a:p>
        </c:rich>
      </c:tx>
      <c:layout>
        <c:manualLayout>
          <c:xMode val="edge"/>
          <c:yMode val="edge"/>
          <c:x val="0.47475614526549564"/>
          <c:y val="7.7339341080948448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8.0136510713938527E-2"/>
          <c:y val="0.47775698829725494"/>
          <c:w val="0.77799858351039453"/>
          <c:h val="0.3583474095441039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3573-4846-AF8C-F1F4926692C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sz="1000" b="1" i="0">
                        <a:solidFill>
                          <a:schemeClr val="accent1"/>
                        </a:solidFill>
                        <a:latin typeface="+mn-lt"/>
                      </a:rPr>
                      <a:t>Plucked 100%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573-4846-AF8C-F1F4926692C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sz="1000" b="1" i="0">
                        <a:solidFill>
                          <a:schemeClr val="accent1"/>
                        </a:solidFill>
                        <a:latin typeface="+mn-lt"/>
                      </a:rPr>
                      <a:t>Unplucked 0%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3573-4846-AF8C-F1F4926692C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Graphs!$J$26:$K$26</c:f>
              <c:numCache>
                <c:formatCode>General</c:formatCode>
                <c:ptCount val="2"/>
                <c:pt idx="0">
                  <c:v>17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73-4846-AF8C-F1F492669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3rd Round</a:t>
            </a:r>
          </a:p>
        </c:rich>
      </c:tx>
      <c:layout>
        <c:manualLayout>
          <c:xMode val="edge"/>
          <c:yMode val="edge"/>
          <c:x val="0.47475614526549564"/>
          <c:y val="7.7339341080948448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8.0136510713938527E-2"/>
          <c:y val="0.47775698829725494"/>
          <c:w val="0.77799858351039453"/>
          <c:h val="0.3583474095441039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7E55-48F2-B7EE-A7C4C614690C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4472C4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E55-48F2-B7EE-A7C4C614690C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ED7D31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E55-48F2-B7EE-A7C4C614690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Graphs!$J$17:$K$17</c:f>
              <c:numCache>
                <c:formatCode>General</c:formatCode>
                <c:ptCount val="2"/>
                <c:pt idx="0">
                  <c:v>12.5</c:v>
                </c:pt>
                <c:pt idx="1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55-48F2-B7EE-A7C4C6146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chemeClr val="lt1"/>
                </a:solidFill>
                <a:latin typeface="+mn-lt"/>
              </a:defRPr>
            </a:pPr>
            <a:r>
              <a:rPr sz="1000" b="1" i="0">
                <a:solidFill>
                  <a:schemeClr val="lt1"/>
                </a:solidFill>
                <a:latin typeface="+mn-lt"/>
              </a:rPr>
              <a:t>Plucking Round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8.0136510713938527E-2"/>
          <c:y val="0.47775698829725494"/>
          <c:w val="0.77799858351039453"/>
          <c:h val="0.3583474095441039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C191-4E50-9843-18017A7646B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sz="900" b="0" i="0">
                        <a:solidFill>
                          <a:schemeClr val="lt1"/>
                        </a:solidFill>
                        <a:latin typeface="+mn-lt"/>
                      </a:rPr>
                      <a:t>Plucked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C191-4E50-9843-18017A7646B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sz="900" b="0" i="0">
                        <a:solidFill>
                          <a:schemeClr val="lt1"/>
                        </a:solidFill>
                        <a:latin typeface="+mn-lt"/>
                      </a:rPr>
                      <a:t>un Plucked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C191-4E50-9843-18017A7646B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Graphs!$J$17:$K$17</c:f>
              <c:numCache>
                <c:formatCode>General</c:formatCode>
                <c:ptCount val="2"/>
                <c:pt idx="0">
                  <c:v>12.5</c:v>
                </c:pt>
                <c:pt idx="1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91-4E50-9843-18017A764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sz="1000" b="1" i="0">
                <a:solidFill>
                  <a:srgbClr val="757575"/>
                </a:solidFill>
                <a:latin typeface="+mn-lt"/>
              </a:rPr>
              <a:t>Tapping</a:t>
            </a:r>
          </a:p>
        </c:rich>
      </c:tx>
      <c:layout>
        <c:manualLayout>
          <c:xMode val="edge"/>
          <c:yMode val="edge"/>
          <c:x val="0.47475614526549564"/>
          <c:y val="7.7339341080948448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8.0136510713938527E-2"/>
          <c:y val="0.47775698829725494"/>
          <c:w val="0.77799858351039453"/>
          <c:h val="0.3583474095441039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89F9-4484-9460-06D43A1BD98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sz="1000" b="1" i="0">
                        <a:solidFill>
                          <a:schemeClr val="accent1"/>
                        </a:solidFill>
                        <a:latin typeface="+mn-lt"/>
                      </a:rPr>
                      <a:t>tapped [PERCENTAGE]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9F9-4484-9460-06D43A1BD98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sz="1000" b="1" i="0">
                        <a:solidFill>
                          <a:schemeClr val="accent1"/>
                        </a:solidFill>
                        <a:latin typeface="+mn-lt"/>
                      </a:rPr>
                      <a:t>Un Tapped [PERCENTAGE]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9F9-4484-9460-06D43A1BD98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Graphs!$P$23:$Q$23</c:f>
              <c:numCache>
                <c:formatCode>General</c:formatCode>
                <c:ptCount val="2"/>
                <c:pt idx="0">
                  <c:v>15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F9-4484-9460-06D43A1BD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sz="1000" b="1" i="0">
                <a:solidFill>
                  <a:srgbClr val="757575"/>
                </a:solidFill>
                <a:latin typeface="+mn-lt"/>
              </a:rPr>
              <a:t>Workers Deployment - tea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1-38B4-4049-81FE-65CDB1C00259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3-38B4-4049-81FE-65CDB1C00259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5-38B4-4049-81FE-65CDB1C00259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7-38B4-4049-81FE-65CDB1C002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38B4-4049-81FE-65CDB1C00259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70AD47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8B4-4049-81FE-65CDB1C00259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5B9BD5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8B4-4049-81FE-65CDB1C00259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FFC000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8B4-4049-81FE-65CDB1C00259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70AD47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38B4-4049-81FE-65CDB1C00259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5B9BD5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38B4-4049-81FE-65CDB1C0025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PMMD!$N$17:$N$21</c:f>
              <c:strCache>
                <c:ptCount val="5"/>
                <c:pt idx="0">
                  <c:v>plucking</c:v>
                </c:pt>
                <c:pt idx="1">
                  <c:v>weeding</c:v>
                </c:pt>
                <c:pt idx="2">
                  <c:v>chemical weeding</c:v>
                </c:pt>
                <c:pt idx="3">
                  <c:v>roads</c:v>
                </c:pt>
                <c:pt idx="4">
                  <c:v>boundries</c:v>
                </c:pt>
              </c:strCache>
            </c:strRef>
          </c:cat>
          <c:val>
            <c:numRef>
              <c:f>PMMD!$O$17:$O$21</c:f>
              <c:numCache>
                <c:formatCode>General</c:formatCode>
                <c:ptCount val="5"/>
                <c:pt idx="0">
                  <c:v>88</c:v>
                </c:pt>
                <c:pt idx="1">
                  <c:v>7</c:v>
                </c:pt>
                <c:pt idx="2">
                  <c:v>6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B4-4049-81FE-65CDB1C00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sz="1000" b="1" i="0">
                <a:solidFill>
                  <a:srgbClr val="757575"/>
                </a:solidFill>
                <a:latin typeface="+mn-lt"/>
              </a:rPr>
              <a:t>worker deployment - rubber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52B9-445C-A053-9BE6A85DA8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52B9-445C-A053-9BE6A85DA8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52B9-445C-A053-9BE6A85DA828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4472C4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2B9-445C-A053-9BE6A85DA828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ED7D31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2B9-445C-A053-9BE6A85DA828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A5A5A5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2B9-445C-A053-9BE6A85DA82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PMMD!$Q$17:$Q$19</c:f>
              <c:strCache>
                <c:ptCount val="3"/>
                <c:pt idx="0">
                  <c:v>tapping</c:v>
                </c:pt>
                <c:pt idx="1">
                  <c:v>chemical weeding</c:v>
                </c:pt>
                <c:pt idx="2">
                  <c:v>rainguards</c:v>
                </c:pt>
              </c:strCache>
            </c:strRef>
          </c:cat>
          <c:val>
            <c:numRef>
              <c:f>PMMD!$R$17:$R$19</c:f>
              <c:numCache>
                <c:formatCode>General</c:formatCode>
                <c:ptCount val="3"/>
                <c:pt idx="0">
                  <c:v>41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B9-445C-A053-9BE6A85DA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tea crop achievement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budgeted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numRef>
              <c:f>PMMD!$M$26:$M$31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PMMD!$N$26:$N$31</c:f>
              <c:numCache>
                <c:formatCode>0</c:formatCode>
                <c:ptCount val="6"/>
                <c:pt idx="0">
                  <c:v>2161.2903225806454</c:v>
                </c:pt>
                <c:pt idx="1">
                  <c:v>2185.5333333333333</c:v>
                </c:pt>
                <c:pt idx="2">
                  <c:v>2193.8275862068967</c:v>
                </c:pt>
                <c:pt idx="3">
                  <c:v>2199.1428571428573</c:v>
                </c:pt>
                <c:pt idx="4">
                  <c:v>2206.7037037037039</c:v>
                </c:pt>
                <c:pt idx="5">
                  <c:v>2197.9230769230771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4A-46A8-A8D1-57AFD1432EBB}"/>
            </c:ext>
          </c:extLst>
        </c:ser>
        <c:ser>
          <c:idx val="1"/>
          <c:order val="1"/>
          <c:tx>
            <c:v>actual</c:v>
          </c:tx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numRef>
              <c:f>PMMD!$M$26:$M$31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PMMD!$O$26:$O$31</c:f>
              <c:numCache>
                <c:formatCode>General</c:formatCode>
                <c:ptCount val="6"/>
                <c:pt idx="0">
                  <c:v>1434</c:v>
                </c:pt>
                <c:pt idx="1">
                  <c:v>1945</c:v>
                </c:pt>
                <c:pt idx="2">
                  <c:v>2045</c:v>
                </c:pt>
                <c:pt idx="3">
                  <c:v>1995</c:v>
                </c:pt>
                <c:pt idx="4">
                  <c:v>2435</c:v>
                </c:pt>
                <c:pt idx="5">
                  <c:v>2093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4A-46A8-A8D1-57AFD1432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311658"/>
        <c:axId val="1626273840"/>
      </c:lineChart>
      <c:catAx>
        <c:axId val="1962311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6273840"/>
        <c:crosses val="autoZero"/>
        <c:auto val="1"/>
        <c:lblAlgn val="ctr"/>
        <c:lblOffset val="100"/>
        <c:noMultiLvlLbl val="1"/>
      </c:catAx>
      <c:valAx>
        <c:axId val="16262738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231165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5.png"/><Relationship Id="rId7" Type="http://schemas.openxmlformats.org/officeDocument/2006/relationships/image" Target="../media/image4.png"/><Relationship Id="rId12" Type="http://schemas.openxmlformats.org/officeDocument/2006/relationships/image" Target="../media/image21.png"/><Relationship Id="rId2" Type="http://schemas.openxmlformats.org/officeDocument/2006/relationships/image" Target="../media/image9.png"/><Relationship Id="rId1" Type="http://schemas.openxmlformats.org/officeDocument/2006/relationships/image" Target="../media/image3.png"/><Relationship Id="rId6" Type="http://schemas.openxmlformats.org/officeDocument/2006/relationships/image" Target="../media/image2.png"/><Relationship Id="rId11" Type="http://schemas.openxmlformats.org/officeDocument/2006/relationships/image" Target="../media/image20.png"/><Relationship Id="rId5" Type="http://schemas.openxmlformats.org/officeDocument/2006/relationships/image" Target="../media/image1.png"/><Relationship Id="rId10" Type="http://schemas.openxmlformats.org/officeDocument/2006/relationships/image" Target="../media/image19.png"/><Relationship Id="rId4" Type="http://schemas.openxmlformats.org/officeDocument/2006/relationships/image" Target="../media/image6.png"/><Relationship Id="rId9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image" Target="../media/image22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2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66</xdr:row>
      <xdr:rowOff>133350</xdr:rowOff>
    </xdr:from>
    <xdr:ext cx="1047750" cy="30670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26888" y="2251238"/>
          <a:ext cx="1038225" cy="3057525"/>
        </a:xfrm>
        <a:prstGeom prst="roundRect">
          <a:avLst>
            <a:gd name="adj" fmla="val 16667"/>
          </a:avLst>
        </a:prstGeom>
        <a:solidFill>
          <a:srgbClr val="F7CAAC">
            <a:alpha val="23921"/>
          </a:srgbClr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371475</xdr:colOff>
      <xdr:row>84</xdr:row>
      <xdr:rowOff>114300</xdr:rowOff>
    </xdr:from>
    <xdr:ext cx="209550" cy="1809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50750" y="3689513"/>
          <a:ext cx="190500" cy="18097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85</xdr:row>
      <xdr:rowOff>0</xdr:rowOff>
    </xdr:from>
    <xdr:ext cx="209550" cy="1809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38100</xdr:colOff>
      <xdr:row>69</xdr:row>
      <xdr:rowOff>66675</xdr:rowOff>
    </xdr:from>
    <xdr:ext cx="257175" cy="571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819399" y="12575350"/>
          <a:ext cx="257175" cy="57150"/>
          <a:chOff x="5217413" y="3780000"/>
          <a:chExt cx="25717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>
            <a:off x="5217413" y="3780000"/>
            <a:ext cx="257175" cy="0"/>
          </a:xfrm>
          <a:prstGeom prst="straightConnector1">
            <a:avLst/>
          </a:prstGeom>
          <a:noFill/>
          <a:ln w="57150" cap="flat" cmpd="sng">
            <a:solidFill>
              <a:srgbClr val="385623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266700</xdr:colOff>
      <xdr:row>68</xdr:row>
      <xdr:rowOff>161925</xdr:rowOff>
    </xdr:from>
    <xdr:ext cx="952500" cy="19050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874513" y="2837025"/>
          <a:ext cx="942975" cy="1885950"/>
        </a:xfrm>
        <a:prstGeom prst="roundRect">
          <a:avLst>
            <a:gd name="adj" fmla="val 16667"/>
          </a:avLst>
        </a:prstGeom>
        <a:solidFill>
          <a:srgbClr val="BBD6EE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571500</xdr:colOff>
      <xdr:row>67</xdr:row>
      <xdr:rowOff>152400</xdr:rowOff>
    </xdr:from>
    <xdr:ext cx="285750" cy="2857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207888" y="3641888"/>
          <a:ext cx="2762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15</xdr:col>
      <xdr:colOff>85725</xdr:colOff>
      <xdr:row>37</xdr:row>
      <xdr:rowOff>123825</xdr:rowOff>
    </xdr:from>
    <xdr:ext cx="304800" cy="2857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98363" y="3641888"/>
          <a:ext cx="29527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12</xdr:col>
      <xdr:colOff>381000</xdr:colOff>
      <xdr:row>114</xdr:row>
      <xdr:rowOff>0</xdr:rowOff>
    </xdr:from>
    <xdr:ext cx="209550" cy="1809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571500</xdr:colOff>
      <xdr:row>96</xdr:row>
      <xdr:rowOff>152400</xdr:rowOff>
    </xdr:from>
    <xdr:ext cx="285750" cy="2857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207888" y="3641888"/>
          <a:ext cx="2762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92</xdr:row>
      <xdr:rowOff>200025</xdr:rowOff>
    </xdr:from>
    <xdr:ext cx="142875" cy="952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 rot="10800000" flipH="1">
          <a:off x="5279325" y="3737138"/>
          <a:ext cx="133350" cy="85725"/>
        </a:xfrm>
        <a:prstGeom prst="curvedLeftArrow">
          <a:avLst>
            <a:gd name="adj1" fmla="val 25000"/>
            <a:gd name="adj2" fmla="val 50000"/>
            <a:gd name="adj3" fmla="val 25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342900</xdr:colOff>
      <xdr:row>96</xdr:row>
      <xdr:rowOff>38100</xdr:rowOff>
    </xdr:from>
    <xdr:ext cx="133350" cy="1333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284088" y="3718088"/>
          <a:ext cx="123825" cy="123825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742950</xdr:colOff>
      <xdr:row>96</xdr:row>
      <xdr:rowOff>47625</xdr:rowOff>
    </xdr:from>
    <xdr:ext cx="133350" cy="14287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1133475</xdr:colOff>
      <xdr:row>96</xdr:row>
      <xdr:rowOff>0</xdr:rowOff>
    </xdr:from>
    <xdr:ext cx="133350" cy="1333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284088" y="3718088"/>
          <a:ext cx="123825" cy="123825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152400</xdr:colOff>
      <xdr:row>96</xdr:row>
      <xdr:rowOff>0</xdr:rowOff>
    </xdr:from>
    <xdr:ext cx="133350" cy="133350"/>
    <xdr:sp macro="" textlink="">
      <xdr:nvSpPr>
        <xdr:cNvPr id="16" name="Shap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284088" y="3718088"/>
          <a:ext cx="123825" cy="123825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590550</xdr:colOff>
      <xdr:row>95</xdr:row>
      <xdr:rowOff>161925</xdr:rowOff>
    </xdr:from>
    <xdr:ext cx="180975" cy="142875"/>
    <xdr:sp macro="" textlink="">
      <xdr:nvSpPr>
        <xdr:cNvPr id="17" name="Shap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260275" y="3713325"/>
          <a:ext cx="171450" cy="133350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361950</xdr:colOff>
      <xdr:row>95</xdr:row>
      <xdr:rowOff>152400</xdr:rowOff>
    </xdr:from>
    <xdr:ext cx="133350" cy="142875"/>
    <xdr:sp macro="" textlink="">
      <xdr:nvSpPr>
        <xdr:cNvPr id="18" name="Shap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800100</xdr:colOff>
      <xdr:row>95</xdr:row>
      <xdr:rowOff>133350</xdr:rowOff>
    </xdr:from>
    <xdr:ext cx="123825" cy="142875"/>
    <xdr:sp macro="" textlink="">
      <xdr:nvSpPr>
        <xdr:cNvPr id="19" name="Shap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293613" y="3713325"/>
          <a:ext cx="104775" cy="133350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371475</xdr:colOff>
      <xdr:row>95</xdr:row>
      <xdr:rowOff>114300</xdr:rowOff>
    </xdr:from>
    <xdr:ext cx="133350" cy="142875"/>
    <xdr:sp macro="" textlink="">
      <xdr:nvSpPr>
        <xdr:cNvPr id="20" name="Shape 1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123825</xdr:colOff>
      <xdr:row>95</xdr:row>
      <xdr:rowOff>104775</xdr:rowOff>
    </xdr:from>
    <xdr:ext cx="133350" cy="142875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762000</xdr:colOff>
      <xdr:row>95</xdr:row>
      <xdr:rowOff>104775</xdr:rowOff>
    </xdr:from>
    <xdr:ext cx="133350" cy="142875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428625</xdr:colOff>
      <xdr:row>95</xdr:row>
      <xdr:rowOff>114300</xdr:rowOff>
    </xdr:from>
    <xdr:ext cx="133350" cy="142875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95</xdr:row>
      <xdr:rowOff>76200</xdr:rowOff>
    </xdr:from>
    <xdr:ext cx="133350" cy="142875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314325</xdr:colOff>
      <xdr:row>101</xdr:row>
      <xdr:rowOff>0</xdr:rowOff>
    </xdr:from>
    <xdr:ext cx="133350" cy="133350"/>
    <xdr:sp macro="" textlink="">
      <xdr:nvSpPr>
        <xdr:cNvPr id="25" name="Shape 1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284088" y="3718088"/>
          <a:ext cx="123825" cy="123825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590550</xdr:colOff>
      <xdr:row>100</xdr:row>
      <xdr:rowOff>161925</xdr:rowOff>
    </xdr:from>
    <xdr:ext cx="133350" cy="142875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990600</xdr:colOff>
      <xdr:row>101</xdr:row>
      <xdr:rowOff>0</xdr:rowOff>
    </xdr:from>
    <xdr:ext cx="133350" cy="133350"/>
    <xdr:sp macro="" textlink="">
      <xdr:nvSpPr>
        <xdr:cNvPr id="27" name="Shape 1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284088" y="3718088"/>
          <a:ext cx="123825" cy="123825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1295400</xdr:colOff>
      <xdr:row>100</xdr:row>
      <xdr:rowOff>152400</xdr:rowOff>
    </xdr:from>
    <xdr:ext cx="104775" cy="142875"/>
    <xdr:sp macro="" textlink="">
      <xdr:nvSpPr>
        <xdr:cNvPr id="28" name="Shape 1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298375" y="3713325"/>
          <a:ext cx="95250" cy="133350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352425</xdr:colOff>
      <xdr:row>101</xdr:row>
      <xdr:rowOff>19050</xdr:rowOff>
    </xdr:from>
    <xdr:ext cx="133350" cy="133350"/>
    <xdr:sp macro="" textlink="">
      <xdr:nvSpPr>
        <xdr:cNvPr id="29" name="Shape 2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284088" y="3718088"/>
          <a:ext cx="123825" cy="123825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28575</xdr:colOff>
      <xdr:row>101</xdr:row>
      <xdr:rowOff>38100</xdr:rowOff>
    </xdr:from>
    <xdr:ext cx="133350" cy="133350"/>
    <xdr:sp macro="" textlink="">
      <xdr:nvSpPr>
        <xdr:cNvPr id="30" name="Shape 1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5284088" y="3718088"/>
          <a:ext cx="123825" cy="123825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342900</xdr:colOff>
      <xdr:row>107</xdr:row>
      <xdr:rowOff>57150</xdr:rowOff>
    </xdr:from>
    <xdr:ext cx="133350" cy="142875"/>
    <xdr:sp macro="" textlink="">
      <xdr:nvSpPr>
        <xdr:cNvPr id="31" name="Shape 1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752475</xdr:colOff>
      <xdr:row>107</xdr:row>
      <xdr:rowOff>57150</xdr:rowOff>
    </xdr:from>
    <xdr:ext cx="133350" cy="142875"/>
    <xdr:sp macro="" textlink="">
      <xdr:nvSpPr>
        <xdr:cNvPr id="32" name="Shape 17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1171575</xdr:colOff>
      <xdr:row>107</xdr:row>
      <xdr:rowOff>57150</xdr:rowOff>
    </xdr:from>
    <xdr:ext cx="133350" cy="142875"/>
    <xdr:sp macro="" textlink="">
      <xdr:nvSpPr>
        <xdr:cNvPr id="33" name="Shape 1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438150</xdr:colOff>
      <xdr:row>112</xdr:row>
      <xdr:rowOff>38100</xdr:rowOff>
    </xdr:from>
    <xdr:ext cx="133350" cy="133350"/>
    <xdr:sp macro="" textlink="">
      <xdr:nvSpPr>
        <xdr:cNvPr id="34" name="Shape 2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5284088" y="3718088"/>
          <a:ext cx="123825" cy="123825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619125</xdr:colOff>
      <xdr:row>69</xdr:row>
      <xdr:rowOff>38100</xdr:rowOff>
    </xdr:from>
    <xdr:ext cx="123825" cy="133350"/>
    <xdr:sp macro="" textlink="">
      <xdr:nvSpPr>
        <xdr:cNvPr id="35" name="Shape 2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5288850" y="3718088"/>
          <a:ext cx="114300" cy="123825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285750</xdr:colOff>
      <xdr:row>69</xdr:row>
      <xdr:rowOff>38100</xdr:rowOff>
    </xdr:from>
    <xdr:ext cx="133350" cy="133350"/>
    <xdr:sp macro="" textlink="">
      <xdr:nvSpPr>
        <xdr:cNvPr id="36" name="Shape 2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5284088" y="3718088"/>
          <a:ext cx="123825" cy="123825"/>
        </a:xfrm>
        <a:prstGeom prst="flowChartSummingJunction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143</xdr:row>
      <xdr:rowOff>0</xdr:rowOff>
    </xdr:from>
    <xdr:ext cx="209550" cy="180975"/>
    <xdr:sp macro="" textlink="">
      <xdr:nvSpPr>
        <xdr:cNvPr id="37" name="Shape 2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571500</xdr:colOff>
      <xdr:row>125</xdr:row>
      <xdr:rowOff>152400</xdr:rowOff>
    </xdr:from>
    <xdr:ext cx="285750" cy="285750"/>
    <xdr:sp macro="" textlink="">
      <xdr:nvSpPr>
        <xdr:cNvPr id="38" name="Shape 24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5207888" y="3641888"/>
          <a:ext cx="2762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121</xdr:row>
      <xdr:rowOff>200025</xdr:rowOff>
    </xdr:from>
    <xdr:ext cx="142875" cy="95250"/>
    <xdr:sp macro="" textlink="">
      <xdr:nvSpPr>
        <xdr:cNvPr id="39" name="Shape 1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 rot="10800000" flipH="1">
          <a:off x="5279325" y="3737138"/>
          <a:ext cx="133350" cy="85725"/>
        </a:xfrm>
        <a:prstGeom prst="curvedLeftArrow">
          <a:avLst>
            <a:gd name="adj1" fmla="val 25000"/>
            <a:gd name="adj2" fmla="val 50000"/>
            <a:gd name="adj3" fmla="val 25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933450</xdr:colOff>
      <xdr:row>126</xdr:row>
      <xdr:rowOff>9525</xdr:rowOff>
    </xdr:from>
    <xdr:ext cx="933450" cy="361950"/>
    <xdr:grpSp>
      <xdr:nvGrpSpPr>
        <xdr:cNvPr id="40" name="Shape 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pSpPr/>
      </xdr:nvGrpSpPr>
      <xdr:grpSpPr>
        <a:xfrm>
          <a:off x="4021034" y="22919006"/>
          <a:ext cx="933450" cy="361950"/>
          <a:chOff x="4879275" y="3599025"/>
          <a:chExt cx="933450" cy="361950"/>
        </a:xfrm>
      </xdr:grpSpPr>
      <xdr:grpSp>
        <xdr:nvGrpSpPr>
          <xdr:cNvPr id="41" name="Shape 25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084320" y="23911560"/>
            <a:chExt cx="952500" cy="251460"/>
          </a:xfrm>
        </xdr:grpSpPr>
        <xdr:sp macro="" textlink="">
          <xdr:nvSpPr>
            <xdr:cNvPr id="42" name="Shape 26">
              <a:extLst>
                <a:ext uri="{FF2B5EF4-FFF2-40B4-BE49-F238E27FC236}">
                  <a16:creationId xmlns:a16="http://schemas.microsoft.com/office/drawing/2014/main" id="{00000000-0008-0000-0000-00002A000000}"/>
                </a:ext>
              </a:extLst>
            </xdr:cNvPr>
            <xdr:cNvSpPr/>
          </xdr:nvSpPr>
          <xdr:spPr>
            <a:xfrm>
              <a:off x="4084320" y="23911560"/>
              <a:ext cx="952500" cy="25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3" name="Shape 27">
              <a:extLst>
                <a:ext uri="{FF2B5EF4-FFF2-40B4-BE49-F238E27FC236}">
                  <a16:creationId xmlns:a16="http://schemas.microsoft.com/office/drawing/2014/main" id="{00000000-0008-0000-0000-00002B000000}"/>
                </a:ext>
              </a:extLst>
            </xdr:cNvPr>
            <xdr:cNvSpPr/>
          </xdr:nvSpPr>
          <xdr:spPr>
            <a:xfrm>
              <a:off x="4084320" y="23911560"/>
              <a:ext cx="952500" cy="251460"/>
            </a:xfrm>
            <a:prstGeom prst="roundRect">
              <a:avLst>
                <a:gd name="adj" fmla="val 16667"/>
              </a:avLst>
            </a:prstGeom>
            <a:solidFill>
              <a:schemeClr val="accent1"/>
            </a:solidFill>
            <a:ln w="12700" cap="flat" cmpd="sng">
              <a:solidFill>
                <a:srgbClr val="31538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AM</a:t>
              </a:r>
              <a:endParaRPr sz="1400"/>
            </a:p>
          </xdr:txBody>
        </xdr:sp>
        <xdr:sp macro="" textlink="">
          <xdr:nvSpPr>
            <xdr:cNvPr id="44" name="Shape 28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SpPr/>
          </xdr:nvSpPr>
          <xdr:spPr>
            <a:xfrm>
              <a:off x="4632960" y="23957280"/>
              <a:ext cx="327660" cy="175260"/>
            </a:xfrm>
            <a:prstGeom prst="rect">
              <a:avLst/>
            </a:prstGeom>
            <a:solidFill>
              <a:srgbClr val="F2F2F2"/>
            </a:solidFill>
            <a:ln w="12700" cap="flat" cmpd="sng">
              <a:solidFill>
                <a:srgbClr val="31538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12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7</xdr:col>
      <xdr:colOff>19050</xdr:colOff>
      <xdr:row>126</xdr:row>
      <xdr:rowOff>19050</xdr:rowOff>
    </xdr:from>
    <xdr:ext cx="1019175" cy="352425"/>
    <xdr:grpSp>
      <xdr:nvGrpSpPr>
        <xdr:cNvPr id="45" name="Shape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pSpPr/>
      </xdr:nvGrpSpPr>
      <xdr:grpSpPr>
        <a:xfrm>
          <a:off x="5174920" y="22928531"/>
          <a:ext cx="1019175" cy="352425"/>
          <a:chOff x="4836413" y="3603788"/>
          <a:chExt cx="1019175" cy="352425"/>
        </a:xfrm>
      </xdr:grpSpPr>
      <xdr:grpSp>
        <xdr:nvGrpSpPr>
          <xdr:cNvPr id="46" name="Shape 29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GrpSpPr/>
        </xdr:nvGrpSpPr>
        <xdr:grpSpPr>
          <a:xfrm>
            <a:off x="4836413" y="3603788"/>
            <a:ext cx="1019175" cy="352425"/>
            <a:chOff x="4084320" y="23911560"/>
            <a:chExt cx="952500" cy="251460"/>
          </a:xfrm>
        </xdr:grpSpPr>
        <xdr:sp macro="" textlink="">
          <xdr:nvSpPr>
            <xdr:cNvPr id="47" name="Shape 26">
              <a:extLst>
                <a:ext uri="{FF2B5EF4-FFF2-40B4-BE49-F238E27FC236}">
                  <a16:creationId xmlns:a16="http://schemas.microsoft.com/office/drawing/2014/main" id="{00000000-0008-0000-0000-00002F000000}"/>
                </a:ext>
              </a:extLst>
            </xdr:cNvPr>
            <xdr:cNvSpPr/>
          </xdr:nvSpPr>
          <xdr:spPr>
            <a:xfrm>
              <a:off x="4084320" y="23911560"/>
              <a:ext cx="952500" cy="25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8" name="Shape 30">
              <a:extLst>
                <a:ext uri="{FF2B5EF4-FFF2-40B4-BE49-F238E27FC236}">
                  <a16:creationId xmlns:a16="http://schemas.microsoft.com/office/drawing/2014/main" id="{00000000-0008-0000-0000-000030000000}"/>
                </a:ext>
              </a:extLst>
            </xdr:cNvPr>
            <xdr:cNvSpPr/>
          </xdr:nvSpPr>
          <xdr:spPr>
            <a:xfrm>
              <a:off x="4084320" y="23911560"/>
              <a:ext cx="952500" cy="251460"/>
            </a:xfrm>
            <a:prstGeom prst="roundRect">
              <a:avLst>
                <a:gd name="adj" fmla="val 16667"/>
              </a:avLst>
            </a:prstGeom>
            <a:solidFill>
              <a:schemeClr val="accent1"/>
            </a:solidFill>
            <a:ln w="12700" cap="flat" cmpd="sng">
              <a:solidFill>
                <a:srgbClr val="31538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PM</a:t>
              </a:r>
              <a:endParaRPr sz="1400"/>
            </a:p>
          </xdr:txBody>
        </xdr:sp>
        <xdr:sp macro="" textlink="">
          <xdr:nvSpPr>
            <xdr:cNvPr id="49" name="Shape 31">
              <a:extLst>
                <a:ext uri="{FF2B5EF4-FFF2-40B4-BE49-F238E27FC236}">
                  <a16:creationId xmlns:a16="http://schemas.microsoft.com/office/drawing/2014/main" id="{00000000-0008-0000-0000-000031000000}"/>
                </a:ext>
              </a:extLst>
            </xdr:cNvPr>
            <xdr:cNvSpPr/>
          </xdr:nvSpPr>
          <xdr:spPr>
            <a:xfrm>
              <a:off x="4632960" y="23957280"/>
              <a:ext cx="327660" cy="175260"/>
            </a:xfrm>
            <a:prstGeom prst="rect">
              <a:avLst/>
            </a:prstGeom>
            <a:solidFill>
              <a:srgbClr val="F2F2F2"/>
            </a:solidFill>
            <a:ln w="12700" cap="flat" cmpd="sng">
              <a:solidFill>
                <a:srgbClr val="31538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11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9</xdr:col>
      <xdr:colOff>38100</xdr:colOff>
      <xdr:row>126</xdr:row>
      <xdr:rowOff>47625</xdr:rowOff>
    </xdr:from>
    <xdr:ext cx="409575" cy="361950"/>
    <xdr:sp macro="" textlink="">
      <xdr:nvSpPr>
        <xdr:cNvPr id="50" name="Shape 32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145975" y="3599025"/>
          <a:ext cx="400050" cy="361950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23</a:t>
          </a:r>
          <a:endParaRPr sz="1400"/>
        </a:p>
      </xdr:txBody>
    </xdr:sp>
    <xdr:clientData fLocksWithSheet="0"/>
  </xdr:oneCellAnchor>
  <xdr:oneCellAnchor>
    <xdr:from>
      <xdr:col>11</xdr:col>
      <xdr:colOff>190500</xdr:colOff>
      <xdr:row>124</xdr:row>
      <xdr:rowOff>57150</xdr:rowOff>
    </xdr:from>
    <xdr:ext cx="971550" cy="533400"/>
    <xdr:sp macro="" textlink="">
      <xdr:nvSpPr>
        <xdr:cNvPr id="51" name="Shape 3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4864988" y="3522825"/>
          <a:ext cx="962025" cy="514350"/>
        </a:xfrm>
        <a:prstGeom prst="roundRect">
          <a:avLst>
            <a:gd name="adj" fmla="val 16667"/>
          </a:avLst>
        </a:prstGeom>
        <a:solidFill>
          <a:srgbClr val="9CC2E5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2A -         Ac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5 -            Ac</a:t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124</xdr:row>
      <xdr:rowOff>133350</xdr:rowOff>
    </xdr:from>
    <xdr:ext cx="209550" cy="161925"/>
    <xdr:sp macro="" textlink="">
      <xdr:nvSpPr>
        <xdr:cNvPr id="52" name="Shape 34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5250750" y="3708563"/>
          <a:ext cx="190500" cy="142875"/>
        </a:xfrm>
        <a:prstGeom prst="rect">
          <a:avLst/>
        </a:prstGeom>
        <a:solidFill>
          <a:srgbClr val="F2F2F2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125</xdr:row>
      <xdr:rowOff>123825</xdr:rowOff>
    </xdr:from>
    <xdr:ext cx="209550" cy="161925"/>
    <xdr:sp macro="" textlink="">
      <xdr:nvSpPr>
        <xdr:cNvPr id="53" name="Shape 35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5250750" y="3708563"/>
          <a:ext cx="190500" cy="142875"/>
        </a:xfrm>
        <a:prstGeom prst="rect">
          <a:avLst/>
        </a:prstGeom>
        <a:solidFill>
          <a:srgbClr val="F2F2F2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504825</xdr:colOff>
      <xdr:row>135</xdr:row>
      <xdr:rowOff>76200</xdr:rowOff>
    </xdr:from>
    <xdr:ext cx="1009650" cy="552450"/>
    <xdr:sp macro="" textlink="">
      <xdr:nvSpPr>
        <xdr:cNvPr id="54" name="Shape 36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4845938" y="3508538"/>
          <a:ext cx="1000125" cy="542925"/>
        </a:xfrm>
        <a:prstGeom prst="roundRect">
          <a:avLst>
            <a:gd name="adj" fmla="val 16667"/>
          </a:avLst>
        </a:prstGeom>
        <a:solidFill>
          <a:srgbClr val="9CC2E5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2A -         Ac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Chemical Qty</a:t>
          </a:r>
          <a:endParaRPr sz="1100"/>
        </a:p>
      </xdr:txBody>
    </xdr:sp>
    <xdr:clientData fLocksWithSheet="0"/>
  </xdr:oneCellAnchor>
  <xdr:oneCellAnchor>
    <xdr:from>
      <xdr:col>11</xdr:col>
      <xdr:colOff>266700</xdr:colOff>
      <xdr:row>135</xdr:row>
      <xdr:rowOff>133350</xdr:rowOff>
    </xdr:from>
    <xdr:ext cx="209550" cy="161925"/>
    <xdr:sp macro="" textlink="">
      <xdr:nvSpPr>
        <xdr:cNvPr id="55" name="Shape 37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5250750" y="3708563"/>
          <a:ext cx="190500" cy="142875"/>
        </a:xfrm>
        <a:prstGeom prst="rect">
          <a:avLst/>
        </a:prstGeom>
        <a:solidFill>
          <a:srgbClr val="F2F2F2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923925</xdr:colOff>
      <xdr:row>129</xdr:row>
      <xdr:rowOff>57150</xdr:rowOff>
    </xdr:from>
    <xdr:ext cx="933450" cy="361950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4011509" y="23501020"/>
          <a:ext cx="933450" cy="361950"/>
          <a:chOff x="4879275" y="3599025"/>
          <a:chExt cx="933450" cy="361950"/>
        </a:xfrm>
      </xdr:grpSpPr>
      <xdr:grpSp>
        <xdr:nvGrpSpPr>
          <xdr:cNvPr id="57" name="Shape 38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084320" y="23911560"/>
            <a:chExt cx="952500" cy="251460"/>
          </a:xfrm>
        </xdr:grpSpPr>
        <xdr:sp macro="" textlink="">
          <xdr:nvSpPr>
            <xdr:cNvPr id="58" name="Shape 26">
              <a:extLst>
                <a:ext uri="{FF2B5EF4-FFF2-40B4-BE49-F238E27FC236}">
                  <a16:creationId xmlns:a16="http://schemas.microsoft.com/office/drawing/2014/main" id="{00000000-0008-0000-0000-00003A000000}"/>
                </a:ext>
              </a:extLst>
            </xdr:cNvPr>
            <xdr:cNvSpPr/>
          </xdr:nvSpPr>
          <xdr:spPr>
            <a:xfrm>
              <a:off x="4084320" y="23911560"/>
              <a:ext cx="952500" cy="25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9" name="Shape 39">
              <a:extLst>
                <a:ext uri="{FF2B5EF4-FFF2-40B4-BE49-F238E27FC236}">
                  <a16:creationId xmlns:a16="http://schemas.microsoft.com/office/drawing/2014/main" id="{00000000-0008-0000-0000-00003B000000}"/>
                </a:ext>
              </a:extLst>
            </xdr:cNvPr>
            <xdr:cNvSpPr/>
          </xdr:nvSpPr>
          <xdr:spPr>
            <a:xfrm>
              <a:off x="4084320" y="23911560"/>
              <a:ext cx="952500" cy="251460"/>
            </a:xfrm>
            <a:prstGeom prst="roundRect">
              <a:avLst>
                <a:gd name="adj" fmla="val 16667"/>
              </a:avLst>
            </a:prstGeom>
            <a:solidFill>
              <a:schemeClr val="accent1"/>
            </a:solidFill>
            <a:ln w="12700" cap="flat" cmpd="sng">
              <a:solidFill>
                <a:srgbClr val="31538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AM</a:t>
              </a:r>
              <a:endParaRPr sz="1400"/>
            </a:p>
          </xdr:txBody>
        </xdr:sp>
        <xdr:sp macro="" textlink="">
          <xdr:nvSpPr>
            <xdr:cNvPr id="60" name="Shape 40">
              <a:extLst>
                <a:ext uri="{FF2B5EF4-FFF2-40B4-BE49-F238E27FC236}">
                  <a16:creationId xmlns:a16="http://schemas.microsoft.com/office/drawing/2014/main" id="{00000000-0008-0000-0000-00003C000000}"/>
                </a:ext>
              </a:extLst>
            </xdr:cNvPr>
            <xdr:cNvSpPr/>
          </xdr:nvSpPr>
          <xdr:spPr>
            <a:xfrm>
              <a:off x="4632960" y="23957280"/>
              <a:ext cx="327660" cy="175260"/>
            </a:xfrm>
            <a:prstGeom prst="rect">
              <a:avLst/>
            </a:prstGeom>
            <a:solidFill>
              <a:srgbClr val="F2F2F2"/>
            </a:solidFill>
            <a:ln w="12700" cap="flat" cmpd="sng">
              <a:solidFill>
                <a:srgbClr val="31538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10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7</xdr:col>
      <xdr:colOff>28575</xdr:colOff>
      <xdr:row>129</xdr:row>
      <xdr:rowOff>76200</xdr:rowOff>
    </xdr:from>
    <xdr:ext cx="1019175" cy="352425"/>
    <xdr:grpSp>
      <xdr:nvGrpSpPr>
        <xdr:cNvPr id="61" name="Shape 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pSpPr/>
      </xdr:nvGrpSpPr>
      <xdr:grpSpPr>
        <a:xfrm>
          <a:off x="5184445" y="23520070"/>
          <a:ext cx="1019175" cy="352425"/>
          <a:chOff x="4836413" y="3603788"/>
          <a:chExt cx="1019175" cy="352425"/>
        </a:xfrm>
      </xdr:grpSpPr>
      <xdr:grpSp>
        <xdr:nvGrpSpPr>
          <xdr:cNvPr id="62" name="Shape 41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GrpSpPr/>
        </xdr:nvGrpSpPr>
        <xdr:grpSpPr>
          <a:xfrm>
            <a:off x="4836413" y="3603788"/>
            <a:ext cx="1019175" cy="352425"/>
            <a:chOff x="4084320" y="23911560"/>
            <a:chExt cx="952500" cy="251460"/>
          </a:xfrm>
        </xdr:grpSpPr>
        <xdr:sp macro="" textlink="">
          <xdr:nvSpPr>
            <xdr:cNvPr id="63" name="Shape 26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SpPr/>
          </xdr:nvSpPr>
          <xdr:spPr>
            <a:xfrm>
              <a:off x="4084320" y="23911560"/>
              <a:ext cx="952500" cy="25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4" name="Shape 42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SpPr/>
          </xdr:nvSpPr>
          <xdr:spPr>
            <a:xfrm>
              <a:off x="4084320" y="23911560"/>
              <a:ext cx="952500" cy="251460"/>
            </a:xfrm>
            <a:prstGeom prst="roundRect">
              <a:avLst>
                <a:gd name="adj" fmla="val 16667"/>
              </a:avLst>
            </a:prstGeom>
            <a:solidFill>
              <a:schemeClr val="accent1"/>
            </a:solidFill>
            <a:ln w="12700" cap="flat" cmpd="sng">
              <a:solidFill>
                <a:srgbClr val="31538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PM</a:t>
              </a:r>
              <a:endParaRPr sz="1400"/>
            </a:p>
          </xdr:txBody>
        </xdr:sp>
        <xdr:sp macro="" textlink="">
          <xdr:nvSpPr>
            <xdr:cNvPr id="65" name="Shape 43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SpPr/>
          </xdr:nvSpPr>
          <xdr:spPr>
            <a:xfrm>
              <a:off x="4632960" y="23957280"/>
              <a:ext cx="327660" cy="175260"/>
            </a:xfrm>
            <a:prstGeom prst="rect">
              <a:avLst/>
            </a:prstGeom>
            <a:solidFill>
              <a:srgbClr val="F2F2F2"/>
            </a:solidFill>
            <a:ln w="12700" cap="flat" cmpd="sng">
              <a:solidFill>
                <a:srgbClr val="31538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09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9</xdr:col>
      <xdr:colOff>0</xdr:colOff>
      <xdr:row>129</xdr:row>
      <xdr:rowOff>38100</xdr:rowOff>
    </xdr:from>
    <xdr:ext cx="409575" cy="361950"/>
    <xdr:sp macro="" textlink="">
      <xdr:nvSpPr>
        <xdr:cNvPr id="66" name="Shape 44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5145975" y="3599025"/>
          <a:ext cx="400050" cy="361950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19</a:t>
          </a:r>
          <a:endParaRPr sz="1400"/>
        </a:p>
      </xdr:txBody>
    </xdr:sp>
    <xdr:clientData fLocksWithSheet="0"/>
  </xdr:oneCellAnchor>
  <xdr:oneCellAnchor>
    <xdr:from>
      <xdr:col>4</xdr:col>
      <xdr:colOff>371475</xdr:colOff>
      <xdr:row>171</xdr:row>
      <xdr:rowOff>114300</xdr:rowOff>
    </xdr:from>
    <xdr:ext cx="209550" cy="180975"/>
    <xdr:sp macro="" textlink="">
      <xdr:nvSpPr>
        <xdr:cNvPr id="67" name="Shape 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5250750" y="3689513"/>
          <a:ext cx="190500" cy="18097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172</xdr:row>
      <xdr:rowOff>0</xdr:rowOff>
    </xdr:from>
    <xdr:ext cx="209550" cy="180975"/>
    <xdr:sp macro="" textlink="">
      <xdr:nvSpPr>
        <xdr:cNvPr id="68" name="Shape 1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571500</xdr:colOff>
      <xdr:row>154</xdr:row>
      <xdr:rowOff>152400</xdr:rowOff>
    </xdr:from>
    <xdr:ext cx="285750" cy="285750"/>
    <xdr:sp macro="" textlink="">
      <xdr:nvSpPr>
        <xdr:cNvPr id="69" name="Shape 45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5207888" y="3641888"/>
          <a:ext cx="2762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12</xdr:col>
      <xdr:colOff>133350</xdr:colOff>
      <xdr:row>171</xdr:row>
      <xdr:rowOff>133350</xdr:rowOff>
    </xdr:from>
    <xdr:ext cx="180975" cy="200025"/>
    <xdr:sp macro="" textlink="">
      <xdr:nvSpPr>
        <xdr:cNvPr id="70" name="Shape 46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 rot="-5400000"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571500</xdr:colOff>
      <xdr:row>183</xdr:row>
      <xdr:rowOff>152400</xdr:rowOff>
    </xdr:from>
    <xdr:ext cx="285750" cy="285750"/>
    <xdr:sp macro="" textlink="">
      <xdr:nvSpPr>
        <xdr:cNvPr id="71" name="Shape 47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5207888" y="3641888"/>
          <a:ext cx="2762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26</xdr:col>
      <xdr:colOff>371475</xdr:colOff>
      <xdr:row>200</xdr:row>
      <xdr:rowOff>114300</xdr:rowOff>
    </xdr:from>
    <xdr:ext cx="209550" cy="180975"/>
    <xdr:sp macro="" textlink="">
      <xdr:nvSpPr>
        <xdr:cNvPr id="72" name="Shape 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250750" y="3689513"/>
          <a:ext cx="190500" cy="18097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34</xdr:col>
      <xdr:colOff>381000</xdr:colOff>
      <xdr:row>201</xdr:row>
      <xdr:rowOff>0</xdr:rowOff>
    </xdr:from>
    <xdr:ext cx="209550" cy="180975"/>
    <xdr:sp macro="" textlink="">
      <xdr:nvSpPr>
        <xdr:cNvPr id="73" name="Shape 2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36</xdr:col>
      <xdr:colOff>571500</xdr:colOff>
      <xdr:row>183</xdr:row>
      <xdr:rowOff>152400</xdr:rowOff>
    </xdr:from>
    <xdr:ext cx="38100" cy="276225"/>
    <xdr:sp macro="" textlink="">
      <xdr:nvSpPr>
        <xdr:cNvPr id="74" name="Shape 48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5341238" y="3641888"/>
          <a:ext cx="95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34</xdr:col>
      <xdr:colOff>133350</xdr:colOff>
      <xdr:row>200</xdr:row>
      <xdr:rowOff>133350</xdr:rowOff>
    </xdr:from>
    <xdr:ext cx="180975" cy="200025"/>
    <xdr:sp macro="" textlink="">
      <xdr:nvSpPr>
        <xdr:cNvPr id="75" name="Shape 46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 rot="-5400000"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371475</xdr:colOff>
      <xdr:row>228</xdr:row>
      <xdr:rowOff>114300</xdr:rowOff>
    </xdr:from>
    <xdr:ext cx="209550" cy="180975"/>
    <xdr:sp macro="" textlink="">
      <xdr:nvSpPr>
        <xdr:cNvPr id="76" name="Shape 49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5250750" y="3689513"/>
          <a:ext cx="190500" cy="18097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229</xdr:row>
      <xdr:rowOff>0</xdr:rowOff>
    </xdr:from>
    <xdr:ext cx="209550" cy="180975"/>
    <xdr:sp macro="" textlink="">
      <xdr:nvSpPr>
        <xdr:cNvPr id="77" name="Shape 50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571500</xdr:colOff>
      <xdr:row>211</xdr:row>
      <xdr:rowOff>152400</xdr:rowOff>
    </xdr:from>
    <xdr:ext cx="285750" cy="285750"/>
    <xdr:sp macro="" textlink="">
      <xdr:nvSpPr>
        <xdr:cNvPr id="78" name="Shape 5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5207888" y="3641888"/>
          <a:ext cx="2762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12</xdr:col>
      <xdr:colOff>133350</xdr:colOff>
      <xdr:row>228</xdr:row>
      <xdr:rowOff>133350</xdr:rowOff>
    </xdr:from>
    <xdr:ext cx="180975" cy="200025"/>
    <xdr:sp macro="" textlink="">
      <xdr:nvSpPr>
        <xdr:cNvPr id="79" name="Shape 52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 rot="-5400000"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371475</xdr:colOff>
      <xdr:row>257</xdr:row>
      <xdr:rowOff>114300</xdr:rowOff>
    </xdr:from>
    <xdr:ext cx="209550" cy="180975"/>
    <xdr:sp macro="" textlink="">
      <xdr:nvSpPr>
        <xdr:cNvPr id="80" name="Shape 4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5250750" y="3689513"/>
          <a:ext cx="190500" cy="18097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258</xdr:row>
      <xdr:rowOff>0</xdr:rowOff>
    </xdr:from>
    <xdr:ext cx="209550" cy="180975"/>
    <xdr:sp macro="" textlink="">
      <xdr:nvSpPr>
        <xdr:cNvPr id="81" name="Shape 5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571500</xdr:colOff>
      <xdr:row>240</xdr:row>
      <xdr:rowOff>152400</xdr:rowOff>
    </xdr:from>
    <xdr:ext cx="285750" cy="285750"/>
    <xdr:sp macro="" textlink="">
      <xdr:nvSpPr>
        <xdr:cNvPr id="82" name="Shape 53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5207888" y="3641888"/>
          <a:ext cx="2762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12</xdr:col>
      <xdr:colOff>133350</xdr:colOff>
      <xdr:row>257</xdr:row>
      <xdr:rowOff>133350</xdr:rowOff>
    </xdr:from>
    <xdr:ext cx="180975" cy="200025"/>
    <xdr:sp macro="" textlink="">
      <xdr:nvSpPr>
        <xdr:cNvPr id="83" name="Shape 5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 rot="-5400000"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371475</xdr:colOff>
      <xdr:row>318</xdr:row>
      <xdr:rowOff>114300</xdr:rowOff>
    </xdr:from>
    <xdr:ext cx="209550" cy="180975"/>
    <xdr:sp macro="" textlink="">
      <xdr:nvSpPr>
        <xdr:cNvPr id="84" name="Shape 49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5250750" y="3689513"/>
          <a:ext cx="190500" cy="18097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319</xdr:row>
      <xdr:rowOff>0</xdr:rowOff>
    </xdr:from>
    <xdr:ext cx="209550" cy="180975"/>
    <xdr:sp macro="" textlink="">
      <xdr:nvSpPr>
        <xdr:cNvPr id="85" name="Shape 50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571500</xdr:colOff>
      <xdr:row>301</xdr:row>
      <xdr:rowOff>152400</xdr:rowOff>
    </xdr:from>
    <xdr:ext cx="285750" cy="285750"/>
    <xdr:sp macro="" textlink="">
      <xdr:nvSpPr>
        <xdr:cNvPr id="86" name="Shape 54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5207888" y="3641888"/>
          <a:ext cx="2762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12</xdr:col>
      <xdr:colOff>133350</xdr:colOff>
      <xdr:row>318</xdr:row>
      <xdr:rowOff>133350</xdr:rowOff>
    </xdr:from>
    <xdr:ext cx="180975" cy="200025"/>
    <xdr:sp macro="" textlink="">
      <xdr:nvSpPr>
        <xdr:cNvPr id="87" name="Shape 52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 rot="-5400000"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303</xdr:row>
      <xdr:rowOff>9525</xdr:rowOff>
    </xdr:from>
    <xdr:ext cx="152400" cy="133350"/>
    <xdr:sp macro="" textlink="">
      <xdr:nvSpPr>
        <xdr:cNvPr id="88" name="Shape 55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5274563" y="3722850"/>
          <a:ext cx="142875" cy="11430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371475</xdr:colOff>
      <xdr:row>287</xdr:row>
      <xdr:rowOff>114300</xdr:rowOff>
    </xdr:from>
    <xdr:ext cx="209550" cy="180975"/>
    <xdr:sp macro="" textlink="">
      <xdr:nvSpPr>
        <xdr:cNvPr id="89" name="Shape 4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5250750" y="3689513"/>
          <a:ext cx="190500" cy="18097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288</xdr:row>
      <xdr:rowOff>0</xdr:rowOff>
    </xdr:from>
    <xdr:ext cx="209550" cy="180975"/>
    <xdr:sp macro="" textlink="">
      <xdr:nvSpPr>
        <xdr:cNvPr id="90" name="Shape 5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571500</xdr:colOff>
      <xdr:row>270</xdr:row>
      <xdr:rowOff>152400</xdr:rowOff>
    </xdr:from>
    <xdr:ext cx="285750" cy="285750"/>
    <xdr:sp macro="" textlink="">
      <xdr:nvSpPr>
        <xdr:cNvPr id="91" name="Shape 56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5207888" y="3641888"/>
          <a:ext cx="2762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12</xdr:col>
      <xdr:colOff>133350</xdr:colOff>
      <xdr:row>287</xdr:row>
      <xdr:rowOff>133350</xdr:rowOff>
    </xdr:from>
    <xdr:ext cx="180975" cy="200025"/>
    <xdr:sp macro="" textlink="">
      <xdr:nvSpPr>
        <xdr:cNvPr id="92" name="Shape 5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 rot="-5400000"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266700</xdr:colOff>
      <xdr:row>299</xdr:row>
      <xdr:rowOff>38100</xdr:rowOff>
    </xdr:from>
    <xdr:ext cx="200025" cy="133350"/>
    <xdr:sp macro="" textlink="">
      <xdr:nvSpPr>
        <xdr:cNvPr id="93" name="Shape 57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5250750" y="3718088"/>
          <a:ext cx="190500" cy="123825"/>
        </a:xfrm>
        <a:prstGeom prst="heart">
          <a:avLst/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371475</xdr:colOff>
      <xdr:row>347</xdr:row>
      <xdr:rowOff>114300</xdr:rowOff>
    </xdr:from>
    <xdr:ext cx="209550" cy="180975"/>
    <xdr:sp macro="" textlink="">
      <xdr:nvSpPr>
        <xdr:cNvPr id="94" name="Shape 49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5250750" y="3689513"/>
          <a:ext cx="190500" cy="18097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348</xdr:row>
      <xdr:rowOff>0</xdr:rowOff>
    </xdr:from>
    <xdr:ext cx="209550" cy="180975"/>
    <xdr:sp macro="" textlink="">
      <xdr:nvSpPr>
        <xdr:cNvPr id="95" name="Shape 50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571500</xdr:colOff>
      <xdr:row>330</xdr:row>
      <xdr:rowOff>152400</xdr:rowOff>
    </xdr:from>
    <xdr:ext cx="285750" cy="285750"/>
    <xdr:sp macro="" textlink="">
      <xdr:nvSpPr>
        <xdr:cNvPr id="96" name="Shape 58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5207888" y="3641888"/>
          <a:ext cx="2762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12</xdr:col>
      <xdr:colOff>133350</xdr:colOff>
      <xdr:row>347</xdr:row>
      <xdr:rowOff>133350</xdr:rowOff>
    </xdr:from>
    <xdr:ext cx="180975" cy="200025"/>
    <xdr:sp macro="" textlink="">
      <xdr:nvSpPr>
        <xdr:cNvPr id="97" name="Shape 52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 rot="-5400000"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762000</xdr:colOff>
      <xdr:row>342</xdr:row>
      <xdr:rowOff>19050</xdr:rowOff>
    </xdr:from>
    <xdr:ext cx="161925" cy="133350"/>
    <xdr:sp macro="" textlink="">
      <xdr:nvSpPr>
        <xdr:cNvPr id="98" name="Shape 59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5269800" y="3718088"/>
          <a:ext cx="152400" cy="12382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371475</xdr:colOff>
      <xdr:row>376</xdr:row>
      <xdr:rowOff>114300</xdr:rowOff>
    </xdr:from>
    <xdr:ext cx="209550" cy="180975"/>
    <xdr:sp macro="" textlink="">
      <xdr:nvSpPr>
        <xdr:cNvPr id="99" name="Shape 4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5250750" y="3689513"/>
          <a:ext cx="190500" cy="18097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571500</xdr:colOff>
      <xdr:row>359</xdr:row>
      <xdr:rowOff>152400</xdr:rowOff>
    </xdr:from>
    <xdr:ext cx="285750" cy="285750"/>
    <xdr:sp macro="" textlink="">
      <xdr:nvSpPr>
        <xdr:cNvPr id="100" name="Shape 6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5207888" y="3641888"/>
          <a:ext cx="2762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10</xdr:col>
      <xdr:colOff>419100</xdr:colOff>
      <xdr:row>332</xdr:row>
      <xdr:rowOff>28575</xdr:rowOff>
    </xdr:from>
    <xdr:ext cx="161925" cy="133350"/>
    <xdr:sp macro="" textlink="">
      <xdr:nvSpPr>
        <xdr:cNvPr id="101" name="Shape 59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5269800" y="3718088"/>
          <a:ext cx="152400" cy="12382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647700</xdr:colOff>
      <xdr:row>19</xdr:row>
      <xdr:rowOff>47625</xdr:rowOff>
    </xdr:from>
    <xdr:ext cx="2190750" cy="2371725"/>
    <xdr:pic>
      <xdr:nvPicPr>
        <xdr:cNvPr id="102" name="image1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476250</xdr:colOff>
      <xdr:row>32</xdr:row>
      <xdr:rowOff>9525</xdr:rowOff>
    </xdr:from>
    <xdr:ext cx="857250" cy="695325"/>
    <xdr:pic>
      <xdr:nvPicPr>
        <xdr:cNvPr id="103" name="image2.png" descr="Male profile with solid fill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514350</xdr:colOff>
      <xdr:row>61</xdr:row>
      <xdr:rowOff>28575</xdr:rowOff>
    </xdr:from>
    <xdr:ext cx="857250" cy="742950"/>
    <xdr:pic>
      <xdr:nvPicPr>
        <xdr:cNvPr id="104" name="image2.png" descr="Male profile with solid fill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66</xdr:row>
      <xdr:rowOff>76200</xdr:rowOff>
    </xdr:from>
    <xdr:ext cx="381000" cy="371475"/>
    <xdr:pic>
      <xdr:nvPicPr>
        <xdr:cNvPr id="105" name="image4.png" descr="Female Profile with solid fill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81</xdr:row>
      <xdr:rowOff>38100</xdr:rowOff>
    </xdr:from>
    <xdr:ext cx="504825" cy="504825"/>
    <xdr:pic>
      <xdr:nvPicPr>
        <xdr:cNvPr id="106" name="image3.png" descr="User with solid fill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381000</xdr:colOff>
      <xdr:row>66</xdr:row>
      <xdr:rowOff>114300</xdr:rowOff>
    </xdr:from>
    <xdr:ext cx="371475" cy="371475"/>
    <xdr:pic>
      <xdr:nvPicPr>
        <xdr:cNvPr id="107" name="image4.png" descr="Female Profile with solid fill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66</xdr:row>
      <xdr:rowOff>114300</xdr:rowOff>
    </xdr:from>
    <xdr:ext cx="381000" cy="371475"/>
    <xdr:pic>
      <xdr:nvPicPr>
        <xdr:cNvPr id="108" name="image4.png" descr="Female Profile with solid fill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66</xdr:row>
      <xdr:rowOff>123825</xdr:rowOff>
    </xdr:from>
    <xdr:ext cx="361950" cy="371475"/>
    <xdr:pic>
      <xdr:nvPicPr>
        <xdr:cNvPr id="109" name="image4.png" descr="Female Profile with solid fill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66</xdr:row>
      <xdr:rowOff>114300</xdr:rowOff>
    </xdr:from>
    <xdr:ext cx="381000" cy="371475"/>
    <xdr:pic>
      <xdr:nvPicPr>
        <xdr:cNvPr id="110" name="image4.png" descr="Female Profile with solid fill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66</xdr:row>
      <xdr:rowOff>114300</xdr:rowOff>
    </xdr:from>
    <xdr:ext cx="361950" cy="371475"/>
    <xdr:pic>
      <xdr:nvPicPr>
        <xdr:cNvPr id="111" name="image4.png" descr="Female Profile with solid fill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66</xdr:row>
      <xdr:rowOff>85725</xdr:rowOff>
    </xdr:from>
    <xdr:ext cx="381000" cy="371475"/>
    <xdr:pic>
      <xdr:nvPicPr>
        <xdr:cNvPr id="112" name="image4.png" descr="Female Profile with solid fill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1123950</xdr:colOff>
      <xdr:row>66</xdr:row>
      <xdr:rowOff>95250</xdr:rowOff>
    </xdr:from>
    <xdr:ext cx="342900" cy="371475"/>
    <xdr:pic>
      <xdr:nvPicPr>
        <xdr:cNvPr id="113" name="image4.png" descr="Female Profile with solid fill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762000</xdr:colOff>
      <xdr:row>66</xdr:row>
      <xdr:rowOff>95250</xdr:rowOff>
    </xdr:from>
    <xdr:ext cx="381000" cy="371475"/>
    <xdr:pic>
      <xdr:nvPicPr>
        <xdr:cNvPr id="114" name="image4.png" descr="Female Profile with solid fill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428625</xdr:colOff>
      <xdr:row>66</xdr:row>
      <xdr:rowOff>76200</xdr:rowOff>
    </xdr:from>
    <xdr:ext cx="381000" cy="371475"/>
    <xdr:pic>
      <xdr:nvPicPr>
        <xdr:cNvPr id="115" name="image4.png" descr="Female Profile with solid fill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28575</xdr:colOff>
      <xdr:row>67</xdr:row>
      <xdr:rowOff>161925</xdr:rowOff>
    </xdr:from>
    <xdr:ext cx="1104900" cy="1123950"/>
    <xdr:pic>
      <xdr:nvPicPr>
        <xdr:cNvPr id="116" name="image4.png" descr="Female Profile with solid fill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81</xdr:row>
      <xdr:rowOff>38100</xdr:rowOff>
    </xdr:from>
    <xdr:ext cx="504825" cy="504825"/>
    <xdr:pic>
      <xdr:nvPicPr>
        <xdr:cNvPr id="117" name="image3.png" descr="User with solid fill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533400</xdr:colOff>
      <xdr:row>81</xdr:row>
      <xdr:rowOff>38100</xdr:rowOff>
    </xdr:from>
    <xdr:ext cx="504825" cy="504825"/>
    <xdr:pic>
      <xdr:nvPicPr>
        <xdr:cNvPr id="118" name="image3.png" descr="User with solid fill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981075</xdr:colOff>
      <xdr:row>81</xdr:row>
      <xdr:rowOff>38100</xdr:rowOff>
    </xdr:from>
    <xdr:ext cx="476250" cy="504825"/>
    <xdr:pic>
      <xdr:nvPicPr>
        <xdr:cNvPr id="119" name="image3.png" descr="User with solid fill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68</xdr:row>
      <xdr:rowOff>171450</xdr:rowOff>
    </xdr:from>
    <xdr:ext cx="495300" cy="504825"/>
    <xdr:pic>
      <xdr:nvPicPr>
        <xdr:cNvPr id="120" name="image3.png" descr="User with solid fill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676275</xdr:colOff>
      <xdr:row>69</xdr:row>
      <xdr:rowOff>9525</xdr:rowOff>
    </xdr:from>
    <xdr:ext cx="495300" cy="504825"/>
    <xdr:pic>
      <xdr:nvPicPr>
        <xdr:cNvPr id="121" name="image3.png" descr="User with solid fill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514350</xdr:colOff>
      <xdr:row>90</xdr:row>
      <xdr:rowOff>28575</xdr:rowOff>
    </xdr:from>
    <xdr:ext cx="914400" cy="914400"/>
    <xdr:pic>
      <xdr:nvPicPr>
        <xdr:cNvPr id="122" name="image2.png" descr="Male profile with solid fill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457200</xdr:colOff>
      <xdr:row>95</xdr:row>
      <xdr:rowOff>123825</xdr:rowOff>
    </xdr:from>
    <xdr:ext cx="457200" cy="457200"/>
    <xdr:pic>
      <xdr:nvPicPr>
        <xdr:cNvPr id="123" name="image4.png" descr="Female Profile with solid fill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107</xdr:row>
      <xdr:rowOff>38100</xdr:rowOff>
    </xdr:from>
    <xdr:ext cx="504825" cy="504825"/>
    <xdr:pic>
      <xdr:nvPicPr>
        <xdr:cNvPr id="124" name="image3.png" descr="User with solid fill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101</xdr:row>
      <xdr:rowOff>57150</xdr:rowOff>
    </xdr:from>
    <xdr:ext cx="381000" cy="381000"/>
    <xdr:pic>
      <xdr:nvPicPr>
        <xdr:cNvPr id="125" name="image4.png" descr="Female Profile with solid fill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101</xdr:row>
      <xdr:rowOff>57150</xdr:rowOff>
    </xdr:from>
    <xdr:ext cx="381000" cy="381000"/>
    <xdr:pic>
      <xdr:nvPicPr>
        <xdr:cNvPr id="126" name="image4.png" descr="Female Profile with solid fill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101</xdr:row>
      <xdr:rowOff>38100</xdr:rowOff>
    </xdr:from>
    <xdr:ext cx="381000" cy="381000"/>
    <xdr:pic>
      <xdr:nvPicPr>
        <xdr:cNvPr id="127" name="image4.png" descr="Female Profile with solid fill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381000</xdr:colOff>
      <xdr:row>101</xdr:row>
      <xdr:rowOff>47625</xdr:rowOff>
    </xdr:from>
    <xdr:ext cx="381000" cy="381000"/>
    <xdr:pic>
      <xdr:nvPicPr>
        <xdr:cNvPr id="128" name="image4.png" descr="Female Profile with solid fill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723900</xdr:colOff>
      <xdr:row>101</xdr:row>
      <xdr:rowOff>57150</xdr:rowOff>
    </xdr:from>
    <xdr:ext cx="381000" cy="381000"/>
    <xdr:pic>
      <xdr:nvPicPr>
        <xdr:cNvPr id="129" name="image4.png" descr="Female Profile with solid fill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1076325</xdr:colOff>
      <xdr:row>101</xdr:row>
      <xdr:rowOff>57150</xdr:rowOff>
    </xdr:from>
    <xdr:ext cx="381000" cy="381000"/>
    <xdr:pic>
      <xdr:nvPicPr>
        <xdr:cNvPr id="130" name="image4.png" descr="Female Profile with solid fill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409575</xdr:colOff>
      <xdr:row>96</xdr:row>
      <xdr:rowOff>38100</xdr:rowOff>
    </xdr:from>
    <xdr:ext cx="466725" cy="466725"/>
    <xdr:pic>
      <xdr:nvPicPr>
        <xdr:cNvPr id="131" name="image4.png" descr="Female Profile with solid fill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96</xdr:row>
      <xdr:rowOff>38100</xdr:rowOff>
    </xdr:from>
    <xdr:ext cx="466725" cy="466725"/>
    <xdr:pic>
      <xdr:nvPicPr>
        <xdr:cNvPr id="132" name="image4.png" descr="Female Profile with solid fill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800100</xdr:colOff>
      <xdr:row>95</xdr:row>
      <xdr:rowOff>133350</xdr:rowOff>
    </xdr:from>
    <xdr:ext cx="457200" cy="457200"/>
    <xdr:pic>
      <xdr:nvPicPr>
        <xdr:cNvPr id="133" name="image4.png" descr="Female Profile with solid fill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112</xdr:row>
      <xdr:rowOff>19050</xdr:rowOff>
    </xdr:from>
    <xdr:ext cx="504825" cy="504825"/>
    <xdr:pic>
      <xdr:nvPicPr>
        <xdr:cNvPr id="134" name="image3.png" descr="User with solid fill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428625</xdr:colOff>
      <xdr:row>107</xdr:row>
      <xdr:rowOff>38100</xdr:rowOff>
    </xdr:from>
    <xdr:ext cx="504825" cy="504825"/>
    <xdr:pic>
      <xdr:nvPicPr>
        <xdr:cNvPr id="135" name="image3.png" descr="User with solid fill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847725</xdr:colOff>
      <xdr:row>107</xdr:row>
      <xdr:rowOff>38100</xdr:rowOff>
    </xdr:from>
    <xdr:ext cx="504825" cy="504825"/>
    <xdr:pic>
      <xdr:nvPicPr>
        <xdr:cNvPr id="136" name="image3.png" descr="User with solid fill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95</xdr:row>
      <xdr:rowOff>142875</xdr:rowOff>
    </xdr:from>
    <xdr:ext cx="457200" cy="457200"/>
    <xdr:pic>
      <xdr:nvPicPr>
        <xdr:cNvPr id="137" name="image4.png" descr="Female Profile with solid fill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96</xdr:row>
      <xdr:rowOff>0</xdr:rowOff>
    </xdr:from>
    <xdr:ext cx="466725" cy="466725"/>
    <xdr:pic>
      <xdr:nvPicPr>
        <xdr:cNvPr id="138" name="image4.png" descr="Female Profile with solid fill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1162050</xdr:colOff>
      <xdr:row>95</xdr:row>
      <xdr:rowOff>171450</xdr:rowOff>
    </xdr:from>
    <xdr:ext cx="466725" cy="466725"/>
    <xdr:pic>
      <xdr:nvPicPr>
        <xdr:cNvPr id="139" name="image4.png" descr="Female Profile with solid fill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790575</xdr:colOff>
      <xdr:row>96</xdr:row>
      <xdr:rowOff>0</xdr:rowOff>
    </xdr:from>
    <xdr:ext cx="466725" cy="466725"/>
    <xdr:pic>
      <xdr:nvPicPr>
        <xdr:cNvPr id="140" name="image4.png" descr="Female Profile with solid fill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133350</xdr:colOff>
      <xdr:row>95</xdr:row>
      <xdr:rowOff>142875</xdr:rowOff>
    </xdr:from>
    <xdr:ext cx="457200" cy="457200"/>
    <xdr:pic>
      <xdr:nvPicPr>
        <xdr:cNvPr id="141" name="image4.png" descr="Female Profile with solid fill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419100</xdr:colOff>
      <xdr:row>95</xdr:row>
      <xdr:rowOff>133350</xdr:rowOff>
    </xdr:from>
    <xdr:ext cx="457200" cy="457200"/>
    <xdr:pic>
      <xdr:nvPicPr>
        <xdr:cNvPr id="142" name="image4.png" descr="Female Profile with solid fill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95</xdr:row>
      <xdr:rowOff>104775</xdr:rowOff>
    </xdr:from>
    <xdr:ext cx="457200" cy="457200"/>
    <xdr:pic>
      <xdr:nvPicPr>
        <xdr:cNvPr id="143" name="image4.png" descr="Female Profile with solid fill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466725</xdr:colOff>
      <xdr:row>95</xdr:row>
      <xdr:rowOff>114300</xdr:rowOff>
    </xdr:from>
    <xdr:ext cx="457200" cy="457200"/>
    <xdr:pic>
      <xdr:nvPicPr>
        <xdr:cNvPr id="144" name="image4.png" descr="Female Profile with solid fill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514350</xdr:colOff>
      <xdr:row>119</xdr:row>
      <xdr:rowOff>28575</xdr:rowOff>
    </xdr:from>
    <xdr:ext cx="914400" cy="914400"/>
    <xdr:pic>
      <xdr:nvPicPr>
        <xdr:cNvPr id="145" name="image2.png" descr="Male profile with solid fill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135</xdr:row>
      <xdr:rowOff>171450</xdr:rowOff>
    </xdr:from>
    <xdr:ext cx="504825" cy="504825"/>
    <xdr:pic>
      <xdr:nvPicPr>
        <xdr:cNvPr id="146" name="image3.png" descr="User with solid fill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125</xdr:row>
      <xdr:rowOff>38100</xdr:rowOff>
    </xdr:from>
    <xdr:ext cx="466725" cy="466725"/>
    <xdr:pic>
      <xdr:nvPicPr>
        <xdr:cNvPr id="147" name="image4.png" descr="Female Profile with solid fill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126</xdr:row>
      <xdr:rowOff>47625</xdr:rowOff>
    </xdr:from>
    <xdr:ext cx="371475" cy="361950"/>
    <xdr:pic>
      <xdr:nvPicPr>
        <xdr:cNvPr id="148" name="image16.png" descr="Checkmark with solid fill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447675</xdr:colOff>
      <xdr:row>126</xdr:row>
      <xdr:rowOff>47625</xdr:rowOff>
    </xdr:from>
    <xdr:ext cx="361950" cy="381000"/>
    <xdr:pic>
      <xdr:nvPicPr>
        <xdr:cNvPr id="149" name="image11.png" descr="Close with solid fill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495300</xdr:colOff>
      <xdr:row>135</xdr:row>
      <xdr:rowOff>104775</xdr:rowOff>
    </xdr:from>
    <xdr:ext cx="495300" cy="514350"/>
    <xdr:pic>
      <xdr:nvPicPr>
        <xdr:cNvPr id="150" name="image7.png" descr="Back with solid fill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1133475</xdr:colOff>
      <xdr:row>136</xdr:row>
      <xdr:rowOff>85725</xdr:rowOff>
    </xdr:from>
    <xdr:ext cx="466725" cy="504825"/>
    <xdr:pic>
      <xdr:nvPicPr>
        <xdr:cNvPr id="151" name="image12.png" descr="No sign with solid fill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514350</xdr:colOff>
      <xdr:row>125</xdr:row>
      <xdr:rowOff>114300</xdr:rowOff>
    </xdr:from>
    <xdr:ext cx="323850" cy="323850"/>
    <xdr:pic>
      <xdr:nvPicPr>
        <xdr:cNvPr id="152" name="image5.png" descr="Pencil with solid fill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122</xdr:row>
      <xdr:rowOff>28575</xdr:rowOff>
    </xdr:from>
    <xdr:ext cx="561975" cy="561975"/>
    <xdr:pic>
      <xdr:nvPicPr>
        <xdr:cNvPr id="153" name="image8.png" descr="Chat bubble with solid fill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</xdr:colOff>
      <xdr:row>133</xdr:row>
      <xdr:rowOff>28575</xdr:rowOff>
    </xdr:from>
    <xdr:ext cx="561975" cy="561975"/>
    <xdr:pic>
      <xdr:nvPicPr>
        <xdr:cNvPr id="154" name="image8.png" descr="Chat bubble with solid fill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136</xdr:row>
      <xdr:rowOff>133350</xdr:rowOff>
    </xdr:from>
    <xdr:ext cx="371475" cy="361950"/>
    <xdr:pic>
      <xdr:nvPicPr>
        <xdr:cNvPr id="155" name="image16.png" descr="Checkmark with solid fill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514350</xdr:colOff>
      <xdr:row>125</xdr:row>
      <xdr:rowOff>152400</xdr:rowOff>
    </xdr:from>
    <xdr:ext cx="476250" cy="504825"/>
    <xdr:pic>
      <xdr:nvPicPr>
        <xdr:cNvPr id="156" name="image12.png" descr="No sign with solid fill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136</xdr:row>
      <xdr:rowOff>123825</xdr:rowOff>
    </xdr:from>
    <xdr:ext cx="381000" cy="381000"/>
    <xdr:pic>
      <xdr:nvPicPr>
        <xdr:cNvPr id="157" name="image11.png" descr="Close with solid fill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647700</xdr:colOff>
      <xdr:row>136</xdr:row>
      <xdr:rowOff>142875</xdr:rowOff>
    </xdr:from>
    <xdr:ext cx="323850" cy="323850"/>
    <xdr:pic>
      <xdr:nvPicPr>
        <xdr:cNvPr id="158" name="image5.png" descr="Pencil with solid fill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129</xdr:row>
      <xdr:rowOff>0</xdr:rowOff>
    </xdr:from>
    <xdr:ext cx="466725" cy="466725"/>
    <xdr:pic>
      <xdr:nvPicPr>
        <xdr:cNvPr id="159" name="image4.png" descr="Female Profile with solid fill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129</xdr:row>
      <xdr:rowOff>76200</xdr:rowOff>
    </xdr:from>
    <xdr:ext cx="323850" cy="323850"/>
    <xdr:pic>
      <xdr:nvPicPr>
        <xdr:cNvPr id="160" name="image5.png" descr="Pencil with solid fill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495300</xdr:colOff>
      <xdr:row>128</xdr:row>
      <xdr:rowOff>142875</xdr:rowOff>
    </xdr:from>
    <xdr:ext cx="476250" cy="504825"/>
    <xdr:pic>
      <xdr:nvPicPr>
        <xdr:cNvPr id="161" name="image12.png" descr="No sign with solid fill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129</xdr:row>
      <xdr:rowOff>76200</xdr:rowOff>
    </xdr:from>
    <xdr:ext cx="371475" cy="361950"/>
    <xdr:pic>
      <xdr:nvPicPr>
        <xdr:cNvPr id="162" name="image16.png" descr="Checkmark with solid fill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457200</xdr:colOff>
      <xdr:row>129</xdr:row>
      <xdr:rowOff>19050</xdr:rowOff>
    </xdr:from>
    <xdr:ext cx="361950" cy="381000"/>
    <xdr:pic>
      <xdr:nvPicPr>
        <xdr:cNvPr id="163" name="image11.png" descr="Close with solid fill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138</xdr:row>
      <xdr:rowOff>142875</xdr:rowOff>
    </xdr:from>
    <xdr:ext cx="504825" cy="504825"/>
    <xdr:pic>
      <xdr:nvPicPr>
        <xdr:cNvPr id="164" name="image3.png" descr="User with solid fill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628650</xdr:colOff>
      <xdr:row>139</xdr:row>
      <xdr:rowOff>19050</xdr:rowOff>
    </xdr:from>
    <xdr:ext cx="323850" cy="323850"/>
    <xdr:pic>
      <xdr:nvPicPr>
        <xdr:cNvPr id="165" name="image5.png" descr="Pencil with solid fill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1104900</xdr:colOff>
      <xdr:row>139</xdr:row>
      <xdr:rowOff>9525</xdr:rowOff>
    </xdr:from>
    <xdr:ext cx="466725" cy="495300"/>
    <xdr:pic>
      <xdr:nvPicPr>
        <xdr:cNvPr id="166" name="image12.png" descr="No sign with solid fill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352425</xdr:colOff>
      <xdr:row>139</xdr:row>
      <xdr:rowOff>66675</xdr:rowOff>
    </xdr:from>
    <xdr:ext cx="361950" cy="361950"/>
    <xdr:pic>
      <xdr:nvPicPr>
        <xdr:cNvPr id="167" name="image16.png" descr="Checkmark with solid fill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139</xdr:row>
      <xdr:rowOff>19050</xdr:rowOff>
    </xdr:from>
    <xdr:ext cx="381000" cy="381000"/>
    <xdr:pic>
      <xdr:nvPicPr>
        <xdr:cNvPr id="168" name="image11.png" descr="Close with solid fill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514350</xdr:colOff>
      <xdr:row>148</xdr:row>
      <xdr:rowOff>28575</xdr:rowOff>
    </xdr:from>
    <xdr:ext cx="914400" cy="914400"/>
    <xdr:pic>
      <xdr:nvPicPr>
        <xdr:cNvPr id="169" name="image2.png" descr="Male profile with solid fill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152</xdr:row>
      <xdr:rowOff>161925</xdr:rowOff>
    </xdr:from>
    <xdr:ext cx="6029325" cy="3648075"/>
    <xdr:pic>
      <xdr:nvPicPr>
        <xdr:cNvPr id="170" name="image17.png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514350</xdr:colOff>
      <xdr:row>177</xdr:row>
      <xdr:rowOff>28575</xdr:rowOff>
    </xdr:from>
    <xdr:ext cx="914400" cy="914400"/>
    <xdr:pic>
      <xdr:nvPicPr>
        <xdr:cNvPr id="171" name="image2.png" descr="Male profile with solid fill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514350</xdr:colOff>
      <xdr:row>177</xdr:row>
      <xdr:rowOff>28575</xdr:rowOff>
    </xdr:from>
    <xdr:ext cx="914400" cy="914400"/>
    <xdr:pic>
      <xdr:nvPicPr>
        <xdr:cNvPr id="172" name="image2.png" descr="Male profile with solid fill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514350</xdr:colOff>
      <xdr:row>205</xdr:row>
      <xdr:rowOff>28575</xdr:rowOff>
    </xdr:from>
    <xdr:ext cx="914400" cy="914400"/>
    <xdr:pic>
      <xdr:nvPicPr>
        <xdr:cNvPr id="173" name="image2.png" descr="Male profile with solid fill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514350</xdr:colOff>
      <xdr:row>234</xdr:row>
      <xdr:rowOff>28575</xdr:rowOff>
    </xdr:from>
    <xdr:ext cx="914400" cy="914400"/>
    <xdr:pic>
      <xdr:nvPicPr>
        <xdr:cNvPr id="174" name="image2.png" descr="Male profile with solid fill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381000</xdr:colOff>
      <xdr:row>238</xdr:row>
      <xdr:rowOff>9525</xdr:rowOff>
    </xdr:from>
    <xdr:ext cx="6286500" cy="3800475"/>
    <xdr:pic>
      <xdr:nvPicPr>
        <xdr:cNvPr id="175" name="image6.png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514350</xdr:colOff>
      <xdr:row>295</xdr:row>
      <xdr:rowOff>28575</xdr:rowOff>
    </xdr:from>
    <xdr:ext cx="914400" cy="914400"/>
    <xdr:pic>
      <xdr:nvPicPr>
        <xdr:cNvPr id="176" name="image2.png" descr="Male profile with solid fill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514350</xdr:colOff>
      <xdr:row>264</xdr:row>
      <xdr:rowOff>28575</xdr:rowOff>
    </xdr:from>
    <xdr:ext cx="914400" cy="914400"/>
    <xdr:pic>
      <xdr:nvPicPr>
        <xdr:cNvPr id="177" name="image2.png" descr="Male profile with solid fill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126</xdr:row>
      <xdr:rowOff>47625</xdr:rowOff>
    </xdr:from>
    <xdr:ext cx="371475" cy="361950"/>
    <xdr:pic>
      <xdr:nvPicPr>
        <xdr:cNvPr id="178" name="image16.png" descr="Checkmark with solid fill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323850</xdr:colOff>
      <xdr:row>271</xdr:row>
      <xdr:rowOff>171450</xdr:rowOff>
    </xdr:from>
    <xdr:ext cx="200025" cy="209550"/>
    <xdr:pic>
      <xdr:nvPicPr>
        <xdr:cNvPr id="179" name="image16.png" descr="Checkmark with solid fill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514350</xdr:colOff>
      <xdr:row>324</xdr:row>
      <xdr:rowOff>28575</xdr:rowOff>
    </xdr:from>
    <xdr:ext cx="914400" cy="914400"/>
    <xdr:pic>
      <xdr:nvPicPr>
        <xdr:cNvPr id="180" name="image2.png" descr="Male profile with solid fill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514350</xdr:colOff>
      <xdr:row>353</xdr:row>
      <xdr:rowOff>28575</xdr:rowOff>
    </xdr:from>
    <xdr:ext cx="914400" cy="914400"/>
    <xdr:pic>
      <xdr:nvPicPr>
        <xdr:cNvPr id="181" name="image2.png" descr="Male profile with solid fill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375</xdr:row>
      <xdr:rowOff>9525</xdr:rowOff>
    </xdr:from>
    <xdr:ext cx="342900" cy="333375"/>
    <xdr:pic>
      <xdr:nvPicPr>
        <xdr:cNvPr id="182" name="image10.png" descr="Send with solid fill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276225</xdr:colOff>
      <xdr:row>357</xdr:row>
      <xdr:rowOff>9525</xdr:rowOff>
    </xdr:from>
    <xdr:ext cx="304800" cy="295275"/>
    <xdr:pic>
      <xdr:nvPicPr>
        <xdr:cNvPr id="183" name="image9.png" descr="Magnifying glass with solid fill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373</xdr:row>
      <xdr:rowOff>19050</xdr:rowOff>
    </xdr:from>
    <xdr:ext cx="371475" cy="361950"/>
    <xdr:pic>
      <xdr:nvPicPr>
        <xdr:cNvPr id="184" name="image13.png" descr="Camera with solid fill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485775</xdr:colOff>
      <xdr:row>373</xdr:row>
      <xdr:rowOff>28575</xdr:rowOff>
    </xdr:from>
    <xdr:ext cx="342900" cy="333375"/>
    <xdr:pic>
      <xdr:nvPicPr>
        <xdr:cNvPr id="185" name="image14.png" descr="Marketing with solid fill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838200</xdr:colOff>
      <xdr:row>373</xdr:row>
      <xdr:rowOff>28575</xdr:rowOff>
    </xdr:from>
    <xdr:ext cx="323850" cy="323850"/>
    <xdr:pic>
      <xdr:nvPicPr>
        <xdr:cNvPr id="186" name="image15.png" descr="Closed book with solid fill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272</xdr:row>
      <xdr:rowOff>0</xdr:rowOff>
    </xdr:from>
    <xdr:ext cx="180975" cy="180975"/>
    <xdr:pic>
      <xdr:nvPicPr>
        <xdr:cNvPr id="187" name="image11.png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273</xdr:row>
      <xdr:rowOff>0</xdr:rowOff>
    </xdr:from>
    <xdr:ext cx="180975" cy="180975"/>
    <xdr:pic>
      <xdr:nvPicPr>
        <xdr:cNvPr id="188" name="image11.png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274</xdr:row>
      <xdr:rowOff>0</xdr:rowOff>
    </xdr:from>
    <xdr:ext cx="180975" cy="180975"/>
    <xdr:pic>
      <xdr:nvPicPr>
        <xdr:cNvPr id="189" name="image11.png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341</xdr:row>
      <xdr:rowOff>0</xdr:rowOff>
    </xdr:from>
    <xdr:ext cx="180975" cy="180975"/>
    <xdr:pic>
      <xdr:nvPicPr>
        <xdr:cNvPr id="190" name="image16.png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341</xdr:row>
      <xdr:rowOff>0</xdr:rowOff>
    </xdr:from>
    <xdr:ext cx="180975" cy="180975"/>
    <xdr:pic>
      <xdr:nvPicPr>
        <xdr:cNvPr id="191" name="image11.png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85725</xdr:colOff>
      <xdr:row>66</xdr:row>
      <xdr:rowOff>123825</xdr:rowOff>
    </xdr:from>
    <xdr:ext cx="361950" cy="257175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5174550" y="3656175"/>
          <a:ext cx="342900" cy="247650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12</a:t>
          </a:r>
          <a:endParaRPr sz="1400"/>
        </a:p>
      </xdr:txBody>
    </xdr:sp>
    <xdr:clientData fLocksWithSheet="0"/>
  </xdr:oneCellAnchor>
  <xdr:oneCellAnchor>
    <xdr:from>
      <xdr:col>16</xdr:col>
      <xdr:colOff>85725</xdr:colOff>
      <xdr:row>38</xdr:row>
      <xdr:rowOff>123825</xdr:rowOff>
    </xdr:from>
    <xdr:ext cx="361950" cy="257175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5174550" y="3656175"/>
          <a:ext cx="342900" cy="247650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12</a:t>
          </a:r>
          <a:endParaRPr sz="1400"/>
        </a:p>
      </xdr:txBody>
    </xdr:sp>
    <xdr:clientData fLocksWithSheet="0"/>
  </xdr:oneCellAnchor>
  <xdr:oneCellAnchor>
    <xdr:from>
      <xdr:col>4</xdr:col>
      <xdr:colOff>200025</xdr:colOff>
      <xdr:row>36</xdr:row>
      <xdr:rowOff>0</xdr:rowOff>
    </xdr:from>
    <xdr:ext cx="295275" cy="238125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5203125" y="3665700"/>
          <a:ext cx="285750" cy="228600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4</xdr:col>
      <xdr:colOff>180975</xdr:colOff>
      <xdr:row>38</xdr:row>
      <xdr:rowOff>0</xdr:rowOff>
    </xdr:from>
    <xdr:ext cx="295275" cy="247650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5203125" y="3660938"/>
          <a:ext cx="285750" cy="2381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4</xdr:col>
      <xdr:colOff>180975</xdr:colOff>
      <xdr:row>40</xdr:row>
      <xdr:rowOff>9525</xdr:rowOff>
    </xdr:from>
    <xdr:ext cx="295275" cy="247650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5203125" y="3660938"/>
          <a:ext cx="285750" cy="2381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16</xdr:col>
      <xdr:colOff>219075</xdr:colOff>
      <xdr:row>42</xdr:row>
      <xdr:rowOff>200025</xdr:rowOff>
    </xdr:from>
    <xdr:ext cx="361950" cy="266700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5174550" y="3656175"/>
          <a:ext cx="342900" cy="247650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7</a:t>
          </a:r>
          <a:endParaRPr sz="1400"/>
        </a:p>
      </xdr:txBody>
    </xdr:sp>
    <xdr:clientData fLocksWithSheet="0"/>
  </xdr:oneCellAnchor>
  <xdr:oneCellAnchor>
    <xdr:from>
      <xdr:col>4</xdr:col>
      <xdr:colOff>333375</xdr:colOff>
      <xdr:row>65</xdr:row>
      <xdr:rowOff>171450</xdr:rowOff>
    </xdr:from>
    <xdr:ext cx="276225" cy="2476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5212650" y="3660938"/>
          <a:ext cx="266700" cy="2381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13</xdr:col>
      <xdr:colOff>381000</xdr:colOff>
      <xdr:row>149</xdr:row>
      <xdr:rowOff>0</xdr:rowOff>
    </xdr:from>
    <xdr:ext cx="209550" cy="18097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571500</xdr:colOff>
      <xdr:row>131</xdr:row>
      <xdr:rowOff>152400</xdr:rowOff>
    </xdr:from>
    <xdr:ext cx="371475" cy="285750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5169788" y="3641888"/>
          <a:ext cx="3524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12</a:t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131</xdr:row>
      <xdr:rowOff>38100</xdr:rowOff>
    </xdr:from>
    <xdr:ext cx="1571625" cy="4667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3596640" y="23324820"/>
          <a:ext cx="1571625" cy="466725"/>
          <a:chOff x="4560188" y="3546638"/>
          <a:chExt cx="1571625" cy="466725"/>
        </a:xfrm>
      </xdr:grpSpPr>
      <xdr:grpSp>
        <xdr:nvGrpSpPr>
          <xdr:cNvPr id="69" name="Shape 69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GrpSpPr/>
        </xdr:nvGrpSpPr>
        <xdr:grpSpPr>
          <a:xfrm>
            <a:off x="4560188" y="3546638"/>
            <a:ext cx="1571625" cy="466725"/>
            <a:chOff x="3657600" y="18615660"/>
            <a:chExt cx="1600200" cy="472440"/>
          </a:xfrm>
        </xdr:grpSpPr>
        <xdr:sp macro="" textlink="">
          <xdr:nvSpPr>
            <xdr:cNvPr id="26" name="Shape 26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/>
          </xdr:nvSpPr>
          <xdr:spPr>
            <a:xfrm>
              <a:off x="3657600" y="18615660"/>
              <a:ext cx="1600200" cy="47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70" name="Shape 70" descr="Female Profile with solid fill">
              <a:extLst>
                <a:ext uri="{FF2B5EF4-FFF2-40B4-BE49-F238E27FC236}">
                  <a16:creationId xmlns:a16="http://schemas.microsoft.com/office/drawing/2014/main" id="{00000000-0008-0000-0100-00004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3657600" y="18615660"/>
              <a:ext cx="472440" cy="4724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1" name="Shape 71" descr="Pencil with solid fill">
              <a:extLst>
                <a:ext uri="{FF2B5EF4-FFF2-40B4-BE49-F238E27FC236}">
                  <a16:creationId xmlns:a16="http://schemas.microsoft.com/office/drawing/2014/main" id="{00000000-0008-0000-0100-000047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4930140" y="18745200"/>
              <a:ext cx="327660" cy="32766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2" name="Shape 72" descr="Checkmark with solid fill">
              <a:extLst>
                <a:ext uri="{FF2B5EF4-FFF2-40B4-BE49-F238E27FC236}">
                  <a16:creationId xmlns:a16="http://schemas.microsoft.com/office/drawing/2014/main" id="{00000000-0008-0000-0100-000048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4602480" y="18707100"/>
              <a:ext cx="373380" cy="373380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73" name="Shape 73">
              <a:extLst>
                <a:ext uri="{FF2B5EF4-FFF2-40B4-BE49-F238E27FC236}">
                  <a16:creationId xmlns:a16="http://schemas.microsoft.com/office/drawing/2014/main" id="{00000000-0008-0000-0100-000049000000}"/>
                </a:ext>
              </a:extLst>
            </xdr:cNvPr>
            <xdr:cNvSpPr/>
          </xdr:nvSpPr>
          <xdr:spPr>
            <a:xfrm>
              <a:off x="4137660" y="18729960"/>
              <a:ext cx="403860" cy="358140"/>
            </a:xfrm>
            <a:prstGeom prst="roundRect">
              <a:avLst>
                <a:gd name="adj" fmla="val 16667"/>
              </a:avLst>
            </a:prstGeom>
            <a:solidFill>
              <a:schemeClr val="accent1"/>
            </a:solidFill>
            <a:ln w="12700" cap="flat" cmpd="sng">
              <a:solidFill>
                <a:srgbClr val="31538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23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6</xdr:col>
      <xdr:colOff>0</xdr:colOff>
      <xdr:row>136</xdr:row>
      <xdr:rowOff>57150</xdr:rowOff>
    </xdr:from>
    <xdr:ext cx="1638300" cy="46672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3596640" y="24220170"/>
          <a:ext cx="1638300" cy="466725"/>
          <a:chOff x="4526850" y="3546638"/>
          <a:chExt cx="1638300" cy="466725"/>
        </a:xfrm>
      </xdr:grpSpPr>
      <xdr:grpSp>
        <xdr:nvGrpSpPr>
          <xdr:cNvPr id="74" name="Shape 74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GrpSpPr/>
        </xdr:nvGrpSpPr>
        <xdr:grpSpPr>
          <a:xfrm>
            <a:off x="4526850" y="3546638"/>
            <a:ext cx="1638300" cy="466725"/>
            <a:chOff x="3657600" y="18615660"/>
            <a:chExt cx="1699260" cy="472440"/>
          </a:xfrm>
        </xdr:grpSpPr>
        <xdr:sp macro="" textlink="">
          <xdr:nvSpPr>
            <xdr:cNvPr id="4" name="Shape 26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3657600" y="18615660"/>
              <a:ext cx="1699250" cy="47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75" name="Shape 75" descr="Female Profile with solid fill">
              <a:extLst>
                <a:ext uri="{FF2B5EF4-FFF2-40B4-BE49-F238E27FC236}">
                  <a16:creationId xmlns:a16="http://schemas.microsoft.com/office/drawing/2014/main" id="{00000000-0008-0000-0100-00004B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3657600" y="18615660"/>
              <a:ext cx="472440" cy="4724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6" name="Shape 76" descr="Pencil with solid fill">
              <a:extLst>
                <a:ext uri="{FF2B5EF4-FFF2-40B4-BE49-F238E27FC236}">
                  <a16:creationId xmlns:a16="http://schemas.microsoft.com/office/drawing/2014/main" id="{00000000-0008-0000-0100-00004C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029200" y="18752820"/>
              <a:ext cx="327660" cy="327660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77" name="Shape 77">
              <a:extLst>
                <a:ext uri="{FF2B5EF4-FFF2-40B4-BE49-F238E27FC236}">
                  <a16:creationId xmlns:a16="http://schemas.microsoft.com/office/drawing/2014/main" id="{00000000-0008-0000-0100-00004D000000}"/>
                </a:ext>
              </a:extLst>
            </xdr:cNvPr>
            <xdr:cNvSpPr/>
          </xdr:nvSpPr>
          <xdr:spPr>
            <a:xfrm>
              <a:off x="4137660" y="18729960"/>
              <a:ext cx="403860" cy="358140"/>
            </a:xfrm>
            <a:prstGeom prst="roundRect">
              <a:avLst>
                <a:gd name="adj" fmla="val 16667"/>
              </a:avLst>
            </a:prstGeom>
            <a:solidFill>
              <a:schemeClr val="accent1"/>
            </a:solidFill>
            <a:ln w="12700" cap="flat" cmpd="sng">
              <a:solidFill>
                <a:srgbClr val="31538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19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12</xdr:col>
      <xdr:colOff>295275</xdr:colOff>
      <xdr:row>129</xdr:row>
      <xdr:rowOff>76200</xdr:rowOff>
    </xdr:from>
    <xdr:ext cx="1209675" cy="1504950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4745925" y="3037050"/>
          <a:ext cx="1200150" cy="1485900"/>
        </a:xfrm>
        <a:prstGeom prst="roundRect">
          <a:avLst>
            <a:gd name="adj" fmla="val 16667"/>
          </a:avLst>
        </a:prstGeom>
        <a:solidFill>
          <a:srgbClr val="9CC2E5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2A - 3.75 Ac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(4MD/Ac)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Balance -5.25Ac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5 - 1.5 Ac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(4MD/Ac)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Balance - 18.5Ac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Total - 5.25Ac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(4MD/Ac)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13</xdr:col>
      <xdr:colOff>381000</xdr:colOff>
      <xdr:row>114</xdr:row>
      <xdr:rowOff>0</xdr:rowOff>
    </xdr:from>
    <xdr:ext cx="209550" cy="180975"/>
    <xdr:sp macro="" textlink="">
      <xdr:nvSpPr>
        <xdr:cNvPr id="5" name="Shape 2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571500</xdr:colOff>
      <xdr:row>96</xdr:row>
      <xdr:rowOff>152400</xdr:rowOff>
    </xdr:from>
    <xdr:ext cx="285750" cy="285750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5207888" y="3641888"/>
          <a:ext cx="2762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15</xdr:col>
      <xdr:colOff>571500</xdr:colOff>
      <xdr:row>96</xdr:row>
      <xdr:rowOff>152400</xdr:rowOff>
    </xdr:from>
    <xdr:ext cx="371475" cy="285750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5169788" y="3641888"/>
          <a:ext cx="3524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12</a:t>
          </a:r>
          <a:endParaRPr sz="1400"/>
        </a:p>
      </xdr:txBody>
    </xdr:sp>
    <xdr:clientData fLocksWithSheet="0"/>
  </xdr:oneCellAnchor>
  <xdr:oneCellAnchor>
    <xdr:from>
      <xdr:col>13</xdr:col>
      <xdr:colOff>381000</xdr:colOff>
      <xdr:row>178</xdr:row>
      <xdr:rowOff>0</xdr:rowOff>
    </xdr:from>
    <xdr:ext cx="209550" cy="180975"/>
    <xdr:sp macro="" textlink="">
      <xdr:nvSpPr>
        <xdr:cNvPr id="6" name="Shape 2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571500</xdr:colOff>
      <xdr:row>160</xdr:row>
      <xdr:rowOff>152400</xdr:rowOff>
    </xdr:from>
    <xdr:ext cx="371475" cy="2857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5169788" y="3641888"/>
          <a:ext cx="3524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12</a:t>
          </a:r>
          <a:endParaRPr sz="1400"/>
        </a:p>
      </xdr:txBody>
    </xdr:sp>
    <xdr:clientData fLocksWithSheet="0"/>
  </xdr:oneCellAnchor>
  <xdr:oneCellAnchor>
    <xdr:from>
      <xdr:col>33</xdr:col>
      <xdr:colOff>381000</xdr:colOff>
      <xdr:row>178</xdr:row>
      <xdr:rowOff>0</xdr:rowOff>
    </xdr:from>
    <xdr:ext cx="209550" cy="180975"/>
    <xdr:sp macro="" textlink="">
      <xdr:nvSpPr>
        <xdr:cNvPr id="7" name="Shape 2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35</xdr:col>
      <xdr:colOff>571500</xdr:colOff>
      <xdr:row>160</xdr:row>
      <xdr:rowOff>152400</xdr:rowOff>
    </xdr:from>
    <xdr:ext cx="371475" cy="285750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5169788" y="3641888"/>
          <a:ext cx="3524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12</a:t>
          </a:r>
          <a:endParaRPr sz="1400"/>
        </a:p>
      </xdr:txBody>
    </xdr:sp>
    <xdr:clientData fLocksWithSheet="0"/>
  </xdr:oneCellAnchor>
  <xdr:oneCellAnchor>
    <xdr:from>
      <xdr:col>13</xdr:col>
      <xdr:colOff>381000</xdr:colOff>
      <xdr:row>206</xdr:row>
      <xdr:rowOff>0</xdr:rowOff>
    </xdr:from>
    <xdr:ext cx="209550" cy="18097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571500</xdr:colOff>
      <xdr:row>188</xdr:row>
      <xdr:rowOff>152400</xdr:rowOff>
    </xdr:from>
    <xdr:ext cx="371475" cy="285750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5169788" y="3641888"/>
          <a:ext cx="3524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12</a:t>
          </a:r>
          <a:endParaRPr sz="1400"/>
        </a:p>
      </xdr:txBody>
    </xdr:sp>
    <xdr:clientData fLocksWithSheet="0"/>
  </xdr:oneCellAnchor>
  <xdr:oneCellAnchor>
    <xdr:from>
      <xdr:col>11</xdr:col>
      <xdr:colOff>76200</xdr:colOff>
      <xdr:row>189</xdr:row>
      <xdr:rowOff>0</xdr:rowOff>
    </xdr:from>
    <xdr:ext cx="466725" cy="18097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7254240" y="33451800"/>
          <a:ext cx="466725" cy="180975"/>
          <a:chOff x="5112638" y="3689513"/>
          <a:chExt cx="466725" cy="180975"/>
        </a:xfrm>
      </xdr:grpSpPr>
      <xdr:grpSp>
        <xdr:nvGrpSpPr>
          <xdr:cNvPr id="84" name="Shape 84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GrpSpPr/>
        </xdr:nvGrpSpPr>
        <xdr:grpSpPr>
          <a:xfrm>
            <a:off x="5112638" y="3689513"/>
            <a:ext cx="466725" cy="180975"/>
            <a:chOff x="7208520" y="36301680"/>
            <a:chExt cx="472440" cy="190500"/>
          </a:xfrm>
        </xdr:grpSpPr>
        <xdr:sp macro="" textlink="">
          <xdr:nvSpPr>
            <xdr:cNvPr id="9" name="Shape 26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/>
          </xdr:nvSpPr>
          <xdr:spPr>
            <a:xfrm>
              <a:off x="7208520" y="36301680"/>
              <a:ext cx="472425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85" name="Shape 85" descr="Checkmark with solid fill">
              <a:extLst>
                <a:ext uri="{FF2B5EF4-FFF2-40B4-BE49-F238E27FC236}">
                  <a16:creationId xmlns:a16="http://schemas.microsoft.com/office/drawing/2014/main" id="{00000000-0008-0000-0100-000055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7208520" y="36339780"/>
              <a:ext cx="144780" cy="14478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6" name="Shape 86" descr="Close with solid fill">
              <a:extLst>
                <a:ext uri="{FF2B5EF4-FFF2-40B4-BE49-F238E27FC236}">
                  <a16:creationId xmlns:a16="http://schemas.microsoft.com/office/drawing/2014/main" id="{00000000-0008-0000-0100-00005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7490460" y="36301680"/>
              <a:ext cx="190500" cy="1905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11</xdr:col>
      <xdr:colOff>57150</xdr:colOff>
      <xdr:row>190</xdr:row>
      <xdr:rowOff>9525</xdr:rowOff>
    </xdr:from>
    <xdr:ext cx="466725" cy="1809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/>
      </xdr:nvGrpSpPr>
      <xdr:grpSpPr>
        <a:xfrm>
          <a:off x="7235190" y="33636585"/>
          <a:ext cx="466725" cy="180975"/>
          <a:chOff x="5112638" y="3689513"/>
          <a:chExt cx="466725" cy="180975"/>
        </a:xfrm>
      </xdr:grpSpPr>
      <xdr:grpSp>
        <xdr:nvGrpSpPr>
          <xdr:cNvPr id="87" name="Shape 87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GrpSpPr/>
        </xdr:nvGrpSpPr>
        <xdr:grpSpPr>
          <a:xfrm>
            <a:off x="5112638" y="3689513"/>
            <a:ext cx="466725" cy="180975"/>
            <a:chOff x="7208520" y="36301680"/>
            <a:chExt cx="472440" cy="190500"/>
          </a:xfrm>
        </xdr:grpSpPr>
        <xdr:sp macro="" textlink="">
          <xdr:nvSpPr>
            <xdr:cNvPr id="11" name="Shape 26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/>
          </xdr:nvSpPr>
          <xdr:spPr>
            <a:xfrm>
              <a:off x="7208520" y="36301680"/>
              <a:ext cx="472425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88" name="Shape 88" descr="Checkmark with solid fill">
              <a:extLst>
                <a:ext uri="{FF2B5EF4-FFF2-40B4-BE49-F238E27FC236}">
                  <a16:creationId xmlns:a16="http://schemas.microsoft.com/office/drawing/2014/main" id="{00000000-0008-0000-0100-000058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7208520" y="36339780"/>
              <a:ext cx="144780" cy="14478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9" name="Shape 89" descr="Close with solid fill">
              <a:extLst>
                <a:ext uri="{FF2B5EF4-FFF2-40B4-BE49-F238E27FC236}">
                  <a16:creationId xmlns:a16="http://schemas.microsoft.com/office/drawing/2014/main" id="{00000000-0008-0000-0100-000059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7490460" y="36301680"/>
              <a:ext cx="190500" cy="1905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11</xdr:col>
      <xdr:colOff>66675</xdr:colOff>
      <xdr:row>191</xdr:row>
      <xdr:rowOff>0</xdr:rowOff>
    </xdr:from>
    <xdr:ext cx="466725" cy="180975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7244715" y="33802320"/>
          <a:ext cx="466725" cy="180975"/>
          <a:chOff x="5112638" y="3689513"/>
          <a:chExt cx="466725" cy="180975"/>
        </a:xfrm>
      </xdr:grpSpPr>
      <xdr:grpSp>
        <xdr:nvGrpSpPr>
          <xdr:cNvPr id="90" name="Shape 90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GrpSpPr/>
        </xdr:nvGrpSpPr>
        <xdr:grpSpPr>
          <a:xfrm>
            <a:off x="5112638" y="3689513"/>
            <a:ext cx="466725" cy="180975"/>
            <a:chOff x="7208520" y="36301680"/>
            <a:chExt cx="472440" cy="190500"/>
          </a:xfrm>
        </xdr:grpSpPr>
        <xdr:sp macro="" textlink="">
          <xdr:nvSpPr>
            <xdr:cNvPr id="13" name="Shape 26"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SpPr/>
          </xdr:nvSpPr>
          <xdr:spPr>
            <a:xfrm>
              <a:off x="7208520" y="36301680"/>
              <a:ext cx="472425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91" name="Shape 91" descr="Checkmark with solid fill">
              <a:extLst>
                <a:ext uri="{FF2B5EF4-FFF2-40B4-BE49-F238E27FC236}">
                  <a16:creationId xmlns:a16="http://schemas.microsoft.com/office/drawing/2014/main" id="{00000000-0008-0000-0100-00005B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7208520" y="36339780"/>
              <a:ext cx="144780" cy="14478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2" name="Shape 92" descr="Close with solid fill">
              <a:extLst>
                <a:ext uri="{FF2B5EF4-FFF2-40B4-BE49-F238E27FC236}">
                  <a16:creationId xmlns:a16="http://schemas.microsoft.com/office/drawing/2014/main" id="{00000000-0008-0000-0100-00005C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7490460" y="36301680"/>
              <a:ext cx="190500" cy="1905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34</xdr:col>
      <xdr:colOff>76200</xdr:colOff>
      <xdr:row>179</xdr:row>
      <xdr:rowOff>95250</xdr:rowOff>
    </xdr:from>
    <xdr:ext cx="209550" cy="1809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5250750" y="3689513"/>
          <a:ext cx="190500" cy="18097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180975</xdr:colOff>
      <xdr:row>205</xdr:row>
      <xdr:rowOff>133350</xdr:rowOff>
    </xdr:from>
    <xdr:ext cx="180975" cy="20002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 rot="-5400000"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27</xdr:col>
      <xdr:colOff>57150</xdr:colOff>
      <xdr:row>187</xdr:row>
      <xdr:rowOff>161925</xdr:rowOff>
    </xdr:from>
    <xdr:ext cx="466725" cy="180975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pSpPr/>
      </xdr:nvGrpSpPr>
      <xdr:grpSpPr>
        <a:xfrm>
          <a:off x="16744950" y="33263205"/>
          <a:ext cx="466725" cy="180975"/>
          <a:chOff x="5112638" y="3689513"/>
          <a:chExt cx="466725" cy="180975"/>
        </a:xfrm>
      </xdr:grpSpPr>
      <xdr:grpSp>
        <xdr:nvGrpSpPr>
          <xdr:cNvPr id="93" name="Shape 93">
            <a:extLst>
              <a:ext uri="{FF2B5EF4-FFF2-40B4-BE49-F238E27FC236}">
                <a16:creationId xmlns:a16="http://schemas.microsoft.com/office/drawing/2014/main" id="{00000000-0008-0000-0100-00005D000000}"/>
              </a:ext>
            </a:extLst>
          </xdr:cNvPr>
          <xdr:cNvGrpSpPr/>
        </xdr:nvGrpSpPr>
        <xdr:grpSpPr>
          <a:xfrm>
            <a:off x="5112638" y="3689513"/>
            <a:ext cx="466725" cy="180975"/>
            <a:chOff x="7208520" y="36301680"/>
            <a:chExt cx="472440" cy="190500"/>
          </a:xfrm>
        </xdr:grpSpPr>
        <xdr:sp macro="" textlink="">
          <xdr:nvSpPr>
            <xdr:cNvPr id="16" name="Shape 2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7208520" y="36301680"/>
              <a:ext cx="472425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94" name="Shape 94" descr="Checkmark with solid fill">
              <a:extLst>
                <a:ext uri="{FF2B5EF4-FFF2-40B4-BE49-F238E27FC236}">
                  <a16:creationId xmlns:a16="http://schemas.microsoft.com/office/drawing/2014/main" id="{00000000-0008-0000-0100-00005E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7208520" y="36339780"/>
              <a:ext cx="144780" cy="14478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5" name="Shape 95" descr="Close with solid fill">
              <a:extLst>
                <a:ext uri="{FF2B5EF4-FFF2-40B4-BE49-F238E27FC236}">
                  <a16:creationId xmlns:a16="http://schemas.microsoft.com/office/drawing/2014/main" id="{00000000-0008-0000-0100-00005F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7490460" y="36301680"/>
              <a:ext cx="190500" cy="1905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27</xdr:col>
      <xdr:colOff>57150</xdr:colOff>
      <xdr:row>189</xdr:row>
      <xdr:rowOff>9525</xdr:rowOff>
    </xdr:from>
    <xdr:ext cx="466725" cy="180975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16744950" y="33461325"/>
          <a:ext cx="466725" cy="180975"/>
          <a:chOff x="5112638" y="3689513"/>
          <a:chExt cx="466725" cy="180975"/>
        </a:xfrm>
      </xdr:grpSpPr>
      <xdr:grpSp>
        <xdr:nvGrpSpPr>
          <xdr:cNvPr id="96" name="Shape 96">
            <a:extLst>
              <a:ext uri="{FF2B5EF4-FFF2-40B4-BE49-F238E27FC236}">
                <a16:creationId xmlns:a16="http://schemas.microsoft.com/office/drawing/2014/main" id="{00000000-0008-0000-0100-000060000000}"/>
              </a:ext>
            </a:extLst>
          </xdr:cNvPr>
          <xdr:cNvGrpSpPr/>
        </xdr:nvGrpSpPr>
        <xdr:grpSpPr>
          <a:xfrm>
            <a:off x="5112638" y="3689513"/>
            <a:ext cx="466725" cy="180975"/>
            <a:chOff x="7208520" y="36301680"/>
            <a:chExt cx="472440" cy="190500"/>
          </a:xfrm>
        </xdr:grpSpPr>
        <xdr:sp macro="" textlink="">
          <xdr:nvSpPr>
            <xdr:cNvPr id="18" name="Shape 26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/>
          </xdr:nvSpPr>
          <xdr:spPr>
            <a:xfrm>
              <a:off x="7208520" y="36301680"/>
              <a:ext cx="472425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97" name="Shape 97" descr="Checkmark with solid fill">
              <a:extLst>
                <a:ext uri="{FF2B5EF4-FFF2-40B4-BE49-F238E27FC236}">
                  <a16:creationId xmlns:a16="http://schemas.microsoft.com/office/drawing/2014/main" id="{00000000-0008-0000-0100-000061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7208520" y="36339780"/>
              <a:ext cx="144780" cy="14478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8" name="Shape 98" descr="Close with solid fill">
              <a:extLst>
                <a:ext uri="{FF2B5EF4-FFF2-40B4-BE49-F238E27FC236}">
                  <a16:creationId xmlns:a16="http://schemas.microsoft.com/office/drawing/2014/main" id="{00000000-0008-0000-0100-000062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7490460" y="36301680"/>
              <a:ext cx="190500" cy="1905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27</xdr:col>
      <xdr:colOff>66675</xdr:colOff>
      <xdr:row>190</xdr:row>
      <xdr:rowOff>0</xdr:rowOff>
    </xdr:from>
    <xdr:ext cx="466725" cy="180975"/>
    <xdr:grpSp>
      <xdr:nvGrpSpPr>
        <xdr:cNvPr id="19" name="Shape 2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pSpPr/>
      </xdr:nvGrpSpPr>
      <xdr:grpSpPr>
        <a:xfrm>
          <a:off x="16754475" y="33627060"/>
          <a:ext cx="466725" cy="180975"/>
          <a:chOff x="5112638" y="3689513"/>
          <a:chExt cx="466725" cy="180975"/>
        </a:xfrm>
      </xdr:grpSpPr>
      <xdr:grpSp>
        <xdr:nvGrpSpPr>
          <xdr:cNvPr id="99" name="Shape 99">
            <a:extLst>
              <a:ext uri="{FF2B5EF4-FFF2-40B4-BE49-F238E27FC236}">
                <a16:creationId xmlns:a16="http://schemas.microsoft.com/office/drawing/2014/main" id="{00000000-0008-0000-0100-000063000000}"/>
              </a:ext>
            </a:extLst>
          </xdr:cNvPr>
          <xdr:cNvGrpSpPr/>
        </xdr:nvGrpSpPr>
        <xdr:grpSpPr>
          <a:xfrm>
            <a:off x="5112638" y="3689513"/>
            <a:ext cx="466725" cy="180975"/>
            <a:chOff x="7208520" y="36301680"/>
            <a:chExt cx="472440" cy="190500"/>
          </a:xfrm>
        </xdr:grpSpPr>
        <xdr:sp macro="" textlink="">
          <xdr:nvSpPr>
            <xdr:cNvPr id="20" name="Shape 26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>
              <a:off x="7208520" y="36301680"/>
              <a:ext cx="472425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00" name="Shape 100" descr="Checkmark with solid fill">
              <a:extLst>
                <a:ext uri="{FF2B5EF4-FFF2-40B4-BE49-F238E27FC236}">
                  <a16:creationId xmlns:a16="http://schemas.microsoft.com/office/drawing/2014/main" id="{00000000-0008-0000-0100-000064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7208520" y="36339780"/>
              <a:ext cx="144780" cy="14478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01" name="Shape 101" descr="Close with solid fill">
              <a:extLst>
                <a:ext uri="{FF2B5EF4-FFF2-40B4-BE49-F238E27FC236}">
                  <a16:creationId xmlns:a16="http://schemas.microsoft.com/office/drawing/2014/main" id="{00000000-0008-0000-0100-000065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7490460" y="36301680"/>
              <a:ext cx="190500" cy="1905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381000</xdr:colOff>
      <xdr:row>267</xdr:row>
      <xdr:rowOff>0</xdr:rowOff>
    </xdr:from>
    <xdr:ext cx="209550" cy="180975"/>
    <xdr:sp macro="" textlink="">
      <xdr:nvSpPr>
        <xdr:cNvPr id="21" name="Shape 5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571500</xdr:colOff>
      <xdr:row>249</xdr:row>
      <xdr:rowOff>152400</xdr:rowOff>
    </xdr:from>
    <xdr:ext cx="371475" cy="285750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5169788" y="3641888"/>
          <a:ext cx="3524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12</a:t>
          </a:r>
          <a:endParaRPr sz="1400"/>
        </a:p>
      </xdr:txBody>
    </xdr:sp>
    <xdr:clientData fLocksWithSheet="0"/>
  </xdr:oneCellAnchor>
  <xdr:oneCellAnchor>
    <xdr:from>
      <xdr:col>5</xdr:col>
      <xdr:colOff>371475</xdr:colOff>
      <xdr:row>266</xdr:row>
      <xdr:rowOff>114300</xdr:rowOff>
    </xdr:from>
    <xdr:ext cx="209550" cy="180975"/>
    <xdr:sp macro="" textlink="">
      <xdr:nvSpPr>
        <xdr:cNvPr id="22" name="Shape 4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5250750" y="3689513"/>
          <a:ext cx="190500" cy="18097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381000</xdr:colOff>
      <xdr:row>295</xdr:row>
      <xdr:rowOff>0</xdr:rowOff>
    </xdr:from>
    <xdr:ext cx="209550" cy="180975"/>
    <xdr:sp macro="" textlink="">
      <xdr:nvSpPr>
        <xdr:cNvPr id="24" name="Shap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571500</xdr:colOff>
      <xdr:row>277</xdr:row>
      <xdr:rowOff>152400</xdr:rowOff>
    </xdr:from>
    <xdr:ext cx="371475" cy="285750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5169788" y="3641888"/>
          <a:ext cx="3524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12</a:t>
          </a:r>
          <a:endParaRPr sz="1400"/>
        </a:p>
      </xdr:txBody>
    </xdr:sp>
    <xdr:clientData fLocksWithSheet="0"/>
  </xdr:oneCellAnchor>
  <xdr:oneCellAnchor>
    <xdr:from>
      <xdr:col>5</xdr:col>
      <xdr:colOff>371475</xdr:colOff>
      <xdr:row>294</xdr:row>
      <xdr:rowOff>114300</xdr:rowOff>
    </xdr:from>
    <xdr:ext cx="209550" cy="180975"/>
    <xdr:sp macro="" textlink="">
      <xdr:nvSpPr>
        <xdr:cNvPr id="25" name="Shape 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5250750" y="3689513"/>
          <a:ext cx="190500" cy="18097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381000</xdr:colOff>
      <xdr:row>324</xdr:row>
      <xdr:rowOff>0</xdr:rowOff>
    </xdr:from>
    <xdr:ext cx="209550" cy="180975"/>
    <xdr:sp macro="" textlink="">
      <xdr:nvSpPr>
        <xdr:cNvPr id="27" name="Shape 50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571500</xdr:colOff>
      <xdr:row>306</xdr:row>
      <xdr:rowOff>152400</xdr:rowOff>
    </xdr:from>
    <xdr:ext cx="371475" cy="285750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>
          <a:off x="5169788" y="3641888"/>
          <a:ext cx="3524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12</a:t>
          </a:r>
          <a:endParaRPr sz="1400"/>
        </a:p>
      </xdr:txBody>
    </xdr:sp>
    <xdr:clientData fLocksWithSheet="0"/>
  </xdr:oneCellAnchor>
  <xdr:oneCellAnchor>
    <xdr:from>
      <xdr:col>3</xdr:col>
      <xdr:colOff>304800</xdr:colOff>
      <xdr:row>185</xdr:row>
      <xdr:rowOff>0</xdr:rowOff>
    </xdr:from>
    <xdr:ext cx="219075" cy="190500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5241225" y="3689513"/>
          <a:ext cx="209550" cy="180975"/>
        </a:xfrm>
        <a:prstGeom prst="star7">
          <a:avLst>
            <a:gd name="adj" fmla="val 34601"/>
            <a:gd name="hf" fmla="val 102572"/>
            <a:gd name="vf" fmla="val 105210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381000</xdr:colOff>
      <xdr:row>235</xdr:row>
      <xdr:rowOff>0</xdr:rowOff>
    </xdr:from>
    <xdr:ext cx="209550" cy="180975"/>
    <xdr:sp macro="" textlink="">
      <xdr:nvSpPr>
        <xdr:cNvPr id="28" name="Shape 23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571500</xdr:colOff>
      <xdr:row>217</xdr:row>
      <xdr:rowOff>152400</xdr:rowOff>
    </xdr:from>
    <xdr:ext cx="371475" cy="285750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5169788" y="3641888"/>
          <a:ext cx="3524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12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217</xdr:row>
      <xdr:rowOff>171450</xdr:rowOff>
    </xdr:from>
    <xdr:ext cx="466725" cy="190500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pSpPr/>
      </xdr:nvGrpSpPr>
      <xdr:grpSpPr>
        <a:xfrm>
          <a:off x="8414385" y="38530530"/>
          <a:ext cx="466725" cy="190500"/>
          <a:chOff x="5112638" y="3684750"/>
          <a:chExt cx="466725" cy="190500"/>
        </a:xfrm>
      </xdr:grpSpPr>
      <xdr:grpSp>
        <xdr:nvGrpSpPr>
          <xdr:cNvPr id="107" name="Shape 107">
            <a:extLst>
              <a:ext uri="{FF2B5EF4-FFF2-40B4-BE49-F238E27FC236}">
                <a16:creationId xmlns:a16="http://schemas.microsoft.com/office/drawing/2014/main" id="{00000000-0008-0000-0100-00006B000000}"/>
              </a:ext>
            </a:extLst>
          </xdr:cNvPr>
          <xdr:cNvGrpSpPr/>
        </xdr:nvGrpSpPr>
        <xdr:grpSpPr>
          <a:xfrm>
            <a:off x="5112638" y="3684750"/>
            <a:ext cx="466725" cy="190500"/>
            <a:chOff x="7208520" y="36301680"/>
            <a:chExt cx="472440" cy="190500"/>
          </a:xfrm>
        </xdr:grpSpPr>
        <xdr:sp macro="" textlink="">
          <xdr:nvSpPr>
            <xdr:cNvPr id="30" name="Shape 26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SpPr/>
          </xdr:nvSpPr>
          <xdr:spPr>
            <a:xfrm>
              <a:off x="7208520" y="36301680"/>
              <a:ext cx="472425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08" name="Shape 108" descr="Checkmark with solid fill">
              <a:extLst>
                <a:ext uri="{FF2B5EF4-FFF2-40B4-BE49-F238E27FC236}">
                  <a16:creationId xmlns:a16="http://schemas.microsoft.com/office/drawing/2014/main" id="{00000000-0008-0000-0100-00006C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7208520" y="36339780"/>
              <a:ext cx="144780" cy="14478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09" name="Shape 109" descr="Close with solid fill">
              <a:extLst>
                <a:ext uri="{FF2B5EF4-FFF2-40B4-BE49-F238E27FC236}">
                  <a16:creationId xmlns:a16="http://schemas.microsoft.com/office/drawing/2014/main" id="{00000000-0008-0000-0100-00006D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7490460" y="36301680"/>
              <a:ext cx="190500" cy="1905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38100</xdr:colOff>
      <xdr:row>218</xdr:row>
      <xdr:rowOff>171450</xdr:rowOff>
    </xdr:from>
    <xdr:ext cx="466725" cy="190500"/>
    <xdr:grpSp>
      <xdr:nvGrpSpPr>
        <xdr:cNvPr id="31" name="Shape 2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pSpPr/>
      </xdr:nvGrpSpPr>
      <xdr:grpSpPr>
        <a:xfrm>
          <a:off x="8404860" y="38705790"/>
          <a:ext cx="466725" cy="190500"/>
          <a:chOff x="5112638" y="3684750"/>
          <a:chExt cx="466725" cy="190500"/>
        </a:xfrm>
      </xdr:grpSpPr>
      <xdr:grpSp>
        <xdr:nvGrpSpPr>
          <xdr:cNvPr id="110" name="Shape 110">
            <a:extLst>
              <a:ext uri="{FF2B5EF4-FFF2-40B4-BE49-F238E27FC236}">
                <a16:creationId xmlns:a16="http://schemas.microsoft.com/office/drawing/2014/main" id="{00000000-0008-0000-0100-00006E000000}"/>
              </a:ext>
            </a:extLst>
          </xdr:cNvPr>
          <xdr:cNvGrpSpPr/>
        </xdr:nvGrpSpPr>
        <xdr:grpSpPr>
          <a:xfrm>
            <a:off x="5112638" y="3684750"/>
            <a:ext cx="466725" cy="190500"/>
            <a:chOff x="7208520" y="36301680"/>
            <a:chExt cx="472440" cy="190500"/>
          </a:xfrm>
        </xdr:grpSpPr>
        <xdr:sp macro="" textlink="">
          <xdr:nvSpPr>
            <xdr:cNvPr id="32" name="Shape 26">
              <a:extLst>
                <a:ext uri="{FF2B5EF4-FFF2-40B4-BE49-F238E27FC236}">
                  <a16:creationId xmlns:a16="http://schemas.microsoft.com/office/drawing/2014/main" id="{00000000-0008-0000-0100-000020000000}"/>
                </a:ext>
              </a:extLst>
            </xdr:cNvPr>
            <xdr:cNvSpPr/>
          </xdr:nvSpPr>
          <xdr:spPr>
            <a:xfrm>
              <a:off x="7208520" y="36301680"/>
              <a:ext cx="472425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11" name="Shape 111" descr="Checkmark with solid fill">
              <a:extLst>
                <a:ext uri="{FF2B5EF4-FFF2-40B4-BE49-F238E27FC236}">
                  <a16:creationId xmlns:a16="http://schemas.microsoft.com/office/drawing/2014/main" id="{00000000-0008-0000-0100-00006F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7208520" y="36339780"/>
              <a:ext cx="144780" cy="14478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12" name="Shape 112" descr="Close with solid fill">
              <a:extLst>
                <a:ext uri="{FF2B5EF4-FFF2-40B4-BE49-F238E27FC236}">
                  <a16:creationId xmlns:a16="http://schemas.microsoft.com/office/drawing/2014/main" id="{00000000-0008-0000-0100-000070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7490460" y="36301680"/>
              <a:ext cx="190500" cy="1905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47625</xdr:colOff>
      <xdr:row>220</xdr:row>
      <xdr:rowOff>19050</xdr:rowOff>
    </xdr:from>
    <xdr:ext cx="466725" cy="180975"/>
    <xdr:grpSp>
      <xdr:nvGrpSpPr>
        <xdr:cNvPr id="33" name="Shape 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8414385" y="38903910"/>
          <a:ext cx="466725" cy="180975"/>
          <a:chOff x="5112638" y="3689513"/>
          <a:chExt cx="466725" cy="180975"/>
        </a:xfrm>
      </xdr:grpSpPr>
      <xdr:grpSp>
        <xdr:nvGrpSpPr>
          <xdr:cNvPr id="113" name="Shape 113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GrpSpPr/>
        </xdr:nvGrpSpPr>
        <xdr:grpSpPr>
          <a:xfrm>
            <a:off x="5112638" y="3689513"/>
            <a:ext cx="466725" cy="180975"/>
            <a:chOff x="7208520" y="36301680"/>
            <a:chExt cx="472440" cy="190500"/>
          </a:xfrm>
        </xdr:grpSpPr>
        <xdr:sp macro="" textlink="">
          <xdr:nvSpPr>
            <xdr:cNvPr id="34" name="Shape 26">
              <a:extLst>
                <a:ext uri="{FF2B5EF4-FFF2-40B4-BE49-F238E27FC236}">
                  <a16:creationId xmlns:a16="http://schemas.microsoft.com/office/drawing/2014/main" id="{00000000-0008-0000-0100-000022000000}"/>
                </a:ext>
              </a:extLst>
            </xdr:cNvPr>
            <xdr:cNvSpPr/>
          </xdr:nvSpPr>
          <xdr:spPr>
            <a:xfrm>
              <a:off x="7208520" y="36301680"/>
              <a:ext cx="472425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14" name="Shape 114" descr="Checkmark with solid fill">
              <a:extLst>
                <a:ext uri="{FF2B5EF4-FFF2-40B4-BE49-F238E27FC236}">
                  <a16:creationId xmlns:a16="http://schemas.microsoft.com/office/drawing/2014/main" id="{00000000-0008-0000-0100-000072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7208520" y="36339780"/>
              <a:ext cx="144780" cy="14478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15" name="Shape 115" descr="Close with solid fill">
              <a:extLst>
                <a:ext uri="{FF2B5EF4-FFF2-40B4-BE49-F238E27FC236}">
                  <a16:creationId xmlns:a16="http://schemas.microsoft.com/office/drawing/2014/main" id="{00000000-0008-0000-0100-000073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7490460" y="36301680"/>
              <a:ext cx="190500" cy="1905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180975</xdr:colOff>
      <xdr:row>234</xdr:row>
      <xdr:rowOff>133350</xdr:rowOff>
    </xdr:from>
    <xdr:ext cx="180975" cy="200025"/>
    <xdr:sp macro="" textlink="">
      <xdr:nvSpPr>
        <xdr:cNvPr id="35" name="Shape 52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 rot="-5400000"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295275</xdr:colOff>
      <xdr:row>214</xdr:row>
      <xdr:rowOff>0</xdr:rowOff>
    </xdr:from>
    <xdr:ext cx="219075" cy="190500"/>
    <xdr:sp macro="" textlink="">
      <xdr:nvSpPr>
        <xdr:cNvPr id="36" name="Shape 10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5241225" y="3689513"/>
          <a:ext cx="209550" cy="180975"/>
        </a:xfrm>
        <a:prstGeom prst="star7">
          <a:avLst>
            <a:gd name="adj" fmla="val 34601"/>
            <a:gd name="hf" fmla="val 102572"/>
            <a:gd name="vf" fmla="val 105210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180975</xdr:colOff>
      <xdr:row>19</xdr:row>
      <xdr:rowOff>85725</xdr:rowOff>
    </xdr:from>
    <xdr:ext cx="2162175" cy="2371725"/>
    <xdr:pic>
      <xdr:nvPicPr>
        <xdr:cNvPr id="37" name="image1.pn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438150</xdr:colOff>
      <xdr:row>61</xdr:row>
      <xdr:rowOff>9525</xdr:rowOff>
    </xdr:from>
    <xdr:ext cx="895350" cy="771525"/>
    <xdr:pic>
      <xdr:nvPicPr>
        <xdr:cNvPr id="38" name="image2.png" descr="Male profile with solid fill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438150</xdr:colOff>
      <xdr:row>33</xdr:row>
      <xdr:rowOff>9525</xdr:rowOff>
    </xdr:from>
    <xdr:ext cx="952500" cy="1000125"/>
    <xdr:pic>
      <xdr:nvPicPr>
        <xdr:cNvPr id="39" name="image2.png" descr="Male profile with solid fill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514350</xdr:colOff>
      <xdr:row>125</xdr:row>
      <xdr:rowOff>28575</xdr:rowOff>
    </xdr:from>
    <xdr:ext cx="914400" cy="914400"/>
    <xdr:pic>
      <xdr:nvPicPr>
        <xdr:cNvPr id="40" name="image2.png" descr="Male profile with solid fill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142</xdr:row>
      <xdr:rowOff>38100</xdr:rowOff>
    </xdr:from>
    <xdr:ext cx="504825" cy="504825"/>
    <xdr:pic>
      <xdr:nvPicPr>
        <xdr:cNvPr id="41" name="image3.png" descr="User with solid fill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904875</xdr:colOff>
      <xdr:row>136</xdr:row>
      <xdr:rowOff>66675</xdr:rowOff>
    </xdr:from>
    <xdr:ext cx="476250" cy="504825"/>
    <xdr:pic>
      <xdr:nvPicPr>
        <xdr:cNvPr id="42" name="image12.png" descr="No sign with solid fill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142</xdr:row>
      <xdr:rowOff>161925</xdr:rowOff>
    </xdr:from>
    <xdr:ext cx="323850" cy="323850"/>
    <xdr:pic>
      <xdr:nvPicPr>
        <xdr:cNvPr id="43" name="image5.png" descr="Pencil with solid fill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676275</xdr:colOff>
      <xdr:row>142</xdr:row>
      <xdr:rowOff>152400</xdr:rowOff>
    </xdr:from>
    <xdr:ext cx="352425" cy="361950"/>
    <xdr:pic>
      <xdr:nvPicPr>
        <xdr:cNvPr id="44" name="image16.png" descr="Checkmark with solid fill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190500</xdr:colOff>
      <xdr:row>128</xdr:row>
      <xdr:rowOff>114300</xdr:rowOff>
    </xdr:from>
    <xdr:ext cx="342900" cy="333375"/>
    <xdr:pic>
      <xdr:nvPicPr>
        <xdr:cNvPr id="45" name="image19.png" descr="Chevron arrows with solid fill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152400</xdr:colOff>
      <xdr:row>139</xdr:row>
      <xdr:rowOff>133350</xdr:rowOff>
    </xdr:from>
    <xdr:ext cx="304800" cy="285750"/>
    <xdr:pic>
      <xdr:nvPicPr>
        <xdr:cNvPr id="46" name="image19.png" descr="Chevron arrows with solid fill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514350</xdr:colOff>
      <xdr:row>90</xdr:row>
      <xdr:rowOff>28575</xdr:rowOff>
    </xdr:from>
    <xdr:ext cx="914400" cy="914400"/>
    <xdr:pic>
      <xdr:nvPicPr>
        <xdr:cNvPr id="47" name="image2.png" descr="Male profile with solid fill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457200</xdr:colOff>
      <xdr:row>95</xdr:row>
      <xdr:rowOff>123825</xdr:rowOff>
    </xdr:from>
    <xdr:ext cx="457200" cy="457200"/>
    <xdr:pic>
      <xdr:nvPicPr>
        <xdr:cNvPr id="48" name="image4.png" descr="Female Profile with solid fill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107</xdr:row>
      <xdr:rowOff>38100</xdr:rowOff>
    </xdr:from>
    <xdr:ext cx="504825" cy="504825"/>
    <xdr:pic>
      <xdr:nvPicPr>
        <xdr:cNvPr id="49" name="image3.png" descr="User with solid fill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101</xdr:row>
      <xdr:rowOff>57150</xdr:rowOff>
    </xdr:from>
    <xdr:ext cx="381000" cy="381000"/>
    <xdr:pic>
      <xdr:nvPicPr>
        <xdr:cNvPr id="51" name="image4.png" descr="Female Profile with solid fill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101</xdr:row>
      <xdr:rowOff>57150</xdr:rowOff>
    </xdr:from>
    <xdr:ext cx="381000" cy="381000"/>
    <xdr:pic>
      <xdr:nvPicPr>
        <xdr:cNvPr id="53" name="image4.png" descr="Female Profile with solid fill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101</xdr:row>
      <xdr:rowOff>38100</xdr:rowOff>
    </xdr:from>
    <xdr:ext cx="381000" cy="381000"/>
    <xdr:pic>
      <xdr:nvPicPr>
        <xdr:cNvPr id="54" name="image4.png" descr="Female Profile with solid fill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101</xdr:row>
      <xdr:rowOff>47625</xdr:rowOff>
    </xdr:from>
    <xdr:ext cx="381000" cy="381000"/>
    <xdr:pic>
      <xdr:nvPicPr>
        <xdr:cNvPr id="55" name="image4.png" descr="Female Profile with solid fill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723900</xdr:colOff>
      <xdr:row>101</xdr:row>
      <xdr:rowOff>57150</xdr:rowOff>
    </xdr:from>
    <xdr:ext cx="381000" cy="381000"/>
    <xdr:pic>
      <xdr:nvPicPr>
        <xdr:cNvPr id="56" name="image4.png" descr="Female Profile with solid fill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1076325</xdr:colOff>
      <xdr:row>101</xdr:row>
      <xdr:rowOff>57150</xdr:rowOff>
    </xdr:from>
    <xdr:ext cx="381000" cy="381000"/>
    <xdr:pic>
      <xdr:nvPicPr>
        <xdr:cNvPr id="57" name="image4.png" descr="Female Profile with solid fill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96</xdr:row>
      <xdr:rowOff>38100</xdr:rowOff>
    </xdr:from>
    <xdr:ext cx="466725" cy="466725"/>
    <xdr:pic>
      <xdr:nvPicPr>
        <xdr:cNvPr id="58" name="image4.png" descr="Female Profile with solid fill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96</xdr:row>
      <xdr:rowOff>38100</xdr:rowOff>
    </xdr:from>
    <xdr:ext cx="466725" cy="466725"/>
    <xdr:pic>
      <xdr:nvPicPr>
        <xdr:cNvPr id="59" name="image4.png" descr="Female Profile with solid fill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200025</xdr:colOff>
      <xdr:row>95</xdr:row>
      <xdr:rowOff>142875</xdr:rowOff>
    </xdr:from>
    <xdr:ext cx="457200" cy="457200"/>
    <xdr:pic>
      <xdr:nvPicPr>
        <xdr:cNvPr id="60" name="image4.png" descr="Female Profile with solid fill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112</xdr:row>
      <xdr:rowOff>19050</xdr:rowOff>
    </xdr:from>
    <xdr:ext cx="504825" cy="504825"/>
    <xdr:pic>
      <xdr:nvPicPr>
        <xdr:cNvPr id="116" name="image3.png" descr="User with solid fill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107</xdr:row>
      <xdr:rowOff>38100</xdr:rowOff>
    </xdr:from>
    <xdr:ext cx="504825" cy="504825"/>
    <xdr:pic>
      <xdr:nvPicPr>
        <xdr:cNvPr id="117" name="image3.png" descr="User with solid fill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619125</xdr:colOff>
      <xdr:row>111</xdr:row>
      <xdr:rowOff>152400</xdr:rowOff>
    </xdr:from>
    <xdr:ext cx="504825" cy="504825"/>
    <xdr:pic>
      <xdr:nvPicPr>
        <xdr:cNvPr id="118" name="image3.png" descr="User with solid fill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</xdr:colOff>
      <xdr:row>95</xdr:row>
      <xdr:rowOff>142875</xdr:rowOff>
    </xdr:from>
    <xdr:ext cx="457200" cy="457200"/>
    <xdr:pic>
      <xdr:nvPicPr>
        <xdr:cNvPr id="119" name="image4.png" descr="Female Profile with solid fill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96</xdr:row>
      <xdr:rowOff>0</xdr:rowOff>
    </xdr:from>
    <xdr:ext cx="466725" cy="466725"/>
    <xdr:pic>
      <xdr:nvPicPr>
        <xdr:cNvPr id="120" name="image4.png" descr="Female Profile with solid fill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1162050</xdr:colOff>
      <xdr:row>95</xdr:row>
      <xdr:rowOff>171450</xdr:rowOff>
    </xdr:from>
    <xdr:ext cx="466725" cy="466725"/>
    <xdr:pic>
      <xdr:nvPicPr>
        <xdr:cNvPr id="121" name="image4.png" descr="Female Profile with solid fill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790575</xdr:colOff>
      <xdr:row>96</xdr:row>
      <xdr:rowOff>0</xdr:rowOff>
    </xdr:from>
    <xdr:ext cx="466725" cy="466725"/>
    <xdr:pic>
      <xdr:nvPicPr>
        <xdr:cNvPr id="122" name="image4.png" descr="Female Profile with solid fill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133350</xdr:colOff>
      <xdr:row>95</xdr:row>
      <xdr:rowOff>142875</xdr:rowOff>
    </xdr:from>
    <xdr:ext cx="457200" cy="457200"/>
    <xdr:pic>
      <xdr:nvPicPr>
        <xdr:cNvPr id="123" name="image4.png" descr="Female Profile with solid fill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419100</xdr:colOff>
      <xdr:row>95</xdr:row>
      <xdr:rowOff>133350</xdr:rowOff>
    </xdr:from>
    <xdr:ext cx="457200" cy="457200"/>
    <xdr:pic>
      <xdr:nvPicPr>
        <xdr:cNvPr id="124" name="image4.png" descr="Female Profile with solid fill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95</xdr:row>
      <xdr:rowOff>104775</xdr:rowOff>
    </xdr:from>
    <xdr:ext cx="457200" cy="457200"/>
    <xdr:pic>
      <xdr:nvPicPr>
        <xdr:cNvPr id="125" name="image4.png" descr="Female Profile with solid fill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466725</xdr:colOff>
      <xdr:row>95</xdr:row>
      <xdr:rowOff>114300</xdr:rowOff>
    </xdr:from>
    <xdr:ext cx="457200" cy="457200"/>
    <xdr:pic>
      <xdr:nvPicPr>
        <xdr:cNvPr id="126" name="image4.png" descr="Female Profile with solid fill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285750</xdr:colOff>
      <xdr:row>95</xdr:row>
      <xdr:rowOff>85725</xdr:rowOff>
    </xdr:from>
    <xdr:ext cx="285750" cy="352425"/>
    <xdr:pic>
      <xdr:nvPicPr>
        <xdr:cNvPr id="127" name="image18.png" descr="Speech with solid fill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371475</xdr:colOff>
      <xdr:row>94</xdr:row>
      <xdr:rowOff>114300</xdr:rowOff>
    </xdr:from>
    <xdr:ext cx="285750" cy="352425"/>
    <xdr:pic>
      <xdr:nvPicPr>
        <xdr:cNvPr id="128" name="image18.png" descr="Speech with solid fill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94</xdr:row>
      <xdr:rowOff>114300</xdr:rowOff>
    </xdr:from>
    <xdr:ext cx="285750" cy="352425"/>
    <xdr:pic>
      <xdr:nvPicPr>
        <xdr:cNvPr id="129" name="image18.png" descr="Speech with solid fill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314325</xdr:colOff>
      <xdr:row>94</xdr:row>
      <xdr:rowOff>142875</xdr:rowOff>
    </xdr:from>
    <xdr:ext cx="266700" cy="352425"/>
    <xdr:pic>
      <xdr:nvPicPr>
        <xdr:cNvPr id="130" name="image18.png" descr="Speech with solid fill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94</xdr:row>
      <xdr:rowOff>47625</xdr:rowOff>
    </xdr:from>
    <xdr:ext cx="285750" cy="352425"/>
    <xdr:pic>
      <xdr:nvPicPr>
        <xdr:cNvPr id="131" name="image18.png" descr="Speech with solid fill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266700</xdr:colOff>
      <xdr:row>94</xdr:row>
      <xdr:rowOff>114300</xdr:rowOff>
    </xdr:from>
    <xdr:ext cx="285750" cy="352425"/>
    <xdr:pic>
      <xdr:nvPicPr>
        <xdr:cNvPr id="132" name="image18.png" descr="Speech with solid fill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95</xdr:row>
      <xdr:rowOff>0</xdr:rowOff>
    </xdr:from>
    <xdr:ext cx="266700" cy="352425"/>
    <xdr:pic>
      <xdr:nvPicPr>
        <xdr:cNvPr id="133" name="image18.png" descr="Speech with solid fill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94</xdr:row>
      <xdr:rowOff>161925</xdr:rowOff>
    </xdr:from>
    <xdr:ext cx="285750" cy="352425"/>
    <xdr:pic>
      <xdr:nvPicPr>
        <xdr:cNvPr id="134" name="image18.png" descr="Speech with solid fill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971550</xdr:colOff>
      <xdr:row>94</xdr:row>
      <xdr:rowOff>152400</xdr:rowOff>
    </xdr:from>
    <xdr:ext cx="266700" cy="352425"/>
    <xdr:pic>
      <xdr:nvPicPr>
        <xdr:cNvPr id="135" name="image18.png" descr="Speech with solid fill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666750</xdr:colOff>
      <xdr:row>95</xdr:row>
      <xdr:rowOff>76200</xdr:rowOff>
    </xdr:from>
    <xdr:ext cx="285750" cy="352425"/>
    <xdr:pic>
      <xdr:nvPicPr>
        <xdr:cNvPr id="136" name="image18.png" descr="Speech with solid fill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94</xdr:row>
      <xdr:rowOff>152400</xdr:rowOff>
    </xdr:from>
    <xdr:ext cx="285750" cy="352425"/>
    <xdr:pic>
      <xdr:nvPicPr>
        <xdr:cNvPr id="137" name="image18.png" descr="Speech with solid fill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94</xdr:row>
      <xdr:rowOff>171450</xdr:rowOff>
    </xdr:from>
    <xdr:ext cx="266700" cy="352425"/>
    <xdr:pic>
      <xdr:nvPicPr>
        <xdr:cNvPr id="138" name="image18.png" descr="Speech with solid fill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295275</xdr:colOff>
      <xdr:row>100</xdr:row>
      <xdr:rowOff>19050</xdr:rowOff>
    </xdr:from>
    <xdr:ext cx="285750" cy="352425"/>
    <xdr:pic>
      <xdr:nvPicPr>
        <xdr:cNvPr id="139" name="image18.png" descr="Speech with solid fill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100</xdr:row>
      <xdr:rowOff>38100</xdr:rowOff>
    </xdr:from>
    <xdr:ext cx="285750" cy="352425"/>
    <xdr:pic>
      <xdr:nvPicPr>
        <xdr:cNvPr id="140" name="image18.png" descr="Speech with solid fill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100</xdr:row>
      <xdr:rowOff>0</xdr:rowOff>
    </xdr:from>
    <xdr:ext cx="285750" cy="352425"/>
    <xdr:pic>
      <xdr:nvPicPr>
        <xdr:cNvPr id="141" name="image18.png" descr="Speech with solid fill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100</xdr:row>
      <xdr:rowOff>0</xdr:rowOff>
    </xdr:from>
    <xdr:ext cx="285750" cy="352425"/>
    <xdr:pic>
      <xdr:nvPicPr>
        <xdr:cNvPr id="142" name="image18.png" descr="Speech with solid fill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828675</xdr:colOff>
      <xdr:row>100</xdr:row>
      <xdr:rowOff>38100</xdr:rowOff>
    </xdr:from>
    <xdr:ext cx="266700" cy="352425"/>
    <xdr:pic>
      <xdr:nvPicPr>
        <xdr:cNvPr id="143" name="image18.png" descr="Speech with solid fill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533400</xdr:colOff>
      <xdr:row>100</xdr:row>
      <xdr:rowOff>28575</xdr:rowOff>
    </xdr:from>
    <xdr:ext cx="285750" cy="352425"/>
    <xdr:pic>
      <xdr:nvPicPr>
        <xdr:cNvPr id="144" name="image18.png" descr="Speech with solid fill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723900</xdr:colOff>
      <xdr:row>106</xdr:row>
      <xdr:rowOff>66675</xdr:rowOff>
    </xdr:from>
    <xdr:ext cx="285750" cy="352425"/>
    <xdr:pic>
      <xdr:nvPicPr>
        <xdr:cNvPr id="145" name="image18.png" descr="Speech with solid fill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333375</xdr:colOff>
      <xdr:row>106</xdr:row>
      <xdr:rowOff>76200</xdr:rowOff>
    </xdr:from>
    <xdr:ext cx="285750" cy="352425"/>
    <xdr:pic>
      <xdr:nvPicPr>
        <xdr:cNvPr id="146" name="image18.png" descr="Speech with solid fill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111</xdr:row>
      <xdr:rowOff>95250</xdr:rowOff>
    </xdr:from>
    <xdr:ext cx="285750" cy="352425"/>
    <xdr:pic>
      <xdr:nvPicPr>
        <xdr:cNvPr id="147" name="image18.png" descr="Speech with solid fill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942975</xdr:colOff>
      <xdr:row>111</xdr:row>
      <xdr:rowOff>133350</xdr:rowOff>
    </xdr:from>
    <xdr:ext cx="266700" cy="352425"/>
    <xdr:pic>
      <xdr:nvPicPr>
        <xdr:cNvPr id="148" name="image18.png" descr="Speech with solid fill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228600</xdr:colOff>
      <xdr:row>110</xdr:row>
      <xdr:rowOff>171450</xdr:rowOff>
    </xdr:from>
    <xdr:ext cx="171450" cy="171450"/>
    <xdr:pic>
      <xdr:nvPicPr>
        <xdr:cNvPr id="149" name="image5.png" descr="Pencil with solid fill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514350</xdr:colOff>
      <xdr:row>154</xdr:row>
      <xdr:rowOff>28575</xdr:rowOff>
    </xdr:from>
    <xdr:ext cx="914400" cy="914400"/>
    <xdr:pic>
      <xdr:nvPicPr>
        <xdr:cNvPr id="150" name="image2.png" descr="Male profile with solid fill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514350</xdr:colOff>
      <xdr:row>154</xdr:row>
      <xdr:rowOff>28575</xdr:rowOff>
    </xdr:from>
    <xdr:ext cx="914400" cy="914400"/>
    <xdr:pic>
      <xdr:nvPicPr>
        <xdr:cNvPr id="151" name="image2.png" descr="Male profile with solid fill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514350</xdr:colOff>
      <xdr:row>182</xdr:row>
      <xdr:rowOff>28575</xdr:rowOff>
    </xdr:from>
    <xdr:ext cx="914400" cy="914400"/>
    <xdr:pic>
      <xdr:nvPicPr>
        <xdr:cNvPr id="152" name="image2.png" descr="Male profile with solid fill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514350</xdr:colOff>
      <xdr:row>243</xdr:row>
      <xdr:rowOff>28575</xdr:rowOff>
    </xdr:from>
    <xdr:ext cx="914400" cy="914400"/>
    <xdr:pic>
      <xdr:nvPicPr>
        <xdr:cNvPr id="153" name="image2.png" descr="Male profile with solid fill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247</xdr:row>
      <xdr:rowOff>9525</xdr:rowOff>
    </xdr:from>
    <xdr:ext cx="5210175" cy="3771900"/>
    <xdr:pic>
      <xdr:nvPicPr>
        <xdr:cNvPr id="154" name="image21.png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514350</xdr:colOff>
      <xdr:row>271</xdr:row>
      <xdr:rowOff>28575</xdr:rowOff>
    </xdr:from>
    <xdr:ext cx="914400" cy="914400"/>
    <xdr:pic>
      <xdr:nvPicPr>
        <xdr:cNvPr id="155" name="image2.png" descr="Male profile with solid fill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276</xdr:row>
      <xdr:rowOff>0</xdr:rowOff>
    </xdr:from>
    <xdr:ext cx="5114925" cy="3619500"/>
    <xdr:pic>
      <xdr:nvPicPr>
        <xdr:cNvPr id="156" name="image20.png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514350</xdr:colOff>
      <xdr:row>300</xdr:row>
      <xdr:rowOff>28575</xdr:rowOff>
    </xdr:from>
    <xdr:ext cx="914400" cy="914400"/>
    <xdr:pic>
      <xdr:nvPicPr>
        <xdr:cNvPr id="157" name="image2.png" descr="Male profile with solid fill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514350</xdr:colOff>
      <xdr:row>211</xdr:row>
      <xdr:rowOff>28575</xdr:rowOff>
    </xdr:from>
    <xdr:ext cx="914400" cy="914400"/>
    <xdr:pic>
      <xdr:nvPicPr>
        <xdr:cNvPr id="158" name="image2.png" descr="Male profile with solid fill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94</xdr:row>
      <xdr:rowOff>0</xdr:rowOff>
    </xdr:from>
    <xdr:ext cx="180975" cy="180975"/>
    <xdr:pic>
      <xdr:nvPicPr>
        <xdr:cNvPr id="159" name="image5.png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105</xdr:row>
      <xdr:rowOff>0</xdr:rowOff>
    </xdr:from>
    <xdr:ext cx="180975" cy="180975"/>
    <xdr:pic>
      <xdr:nvPicPr>
        <xdr:cNvPr id="160" name="image5.png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27</xdr:row>
      <xdr:rowOff>133350</xdr:rowOff>
    </xdr:from>
    <xdr:ext cx="2590800" cy="1323975"/>
    <xdr:graphicFrame macro="">
      <xdr:nvGraphicFramePr>
        <xdr:cNvPr id="732413609" name="Chart 1">
          <a:extLst>
            <a:ext uri="{FF2B5EF4-FFF2-40B4-BE49-F238E27FC236}">
              <a16:creationId xmlns:a16="http://schemas.microsoft.com/office/drawing/2014/main" id="{00000000-0008-0000-0200-0000A9BEA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9525</xdr:colOff>
      <xdr:row>19</xdr:row>
      <xdr:rowOff>76200</xdr:rowOff>
    </xdr:from>
    <xdr:ext cx="2590800" cy="1333500"/>
    <xdr:graphicFrame macro="">
      <xdr:nvGraphicFramePr>
        <xdr:cNvPr id="1517205209" name="Chart 2">
          <a:extLst>
            <a:ext uri="{FF2B5EF4-FFF2-40B4-BE49-F238E27FC236}">
              <a16:creationId xmlns:a16="http://schemas.microsoft.com/office/drawing/2014/main" id="{00000000-0008-0000-0200-0000D9B66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38100</xdr:colOff>
      <xdr:row>10</xdr:row>
      <xdr:rowOff>114300</xdr:rowOff>
    </xdr:from>
    <xdr:ext cx="2590800" cy="1343025"/>
    <xdr:graphicFrame macro="">
      <xdr:nvGraphicFramePr>
        <xdr:cNvPr id="775570048" name="Chart 3">
          <a:extLst>
            <a:ext uri="{FF2B5EF4-FFF2-40B4-BE49-F238E27FC236}">
              <a16:creationId xmlns:a16="http://schemas.microsoft.com/office/drawing/2014/main" id="{00000000-0008-0000-0200-000080423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5</xdr:row>
      <xdr:rowOff>28575</xdr:rowOff>
    </xdr:from>
    <xdr:ext cx="1752600" cy="962025"/>
    <xdr:graphicFrame macro="">
      <xdr:nvGraphicFramePr>
        <xdr:cNvPr id="2005978016" name="Chart 4">
          <a:extLst>
            <a:ext uri="{FF2B5EF4-FFF2-40B4-BE49-F238E27FC236}">
              <a16:creationId xmlns:a16="http://schemas.microsoft.com/office/drawing/2014/main" id="{00000000-0008-0000-0400-0000A0CB9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0</xdr:colOff>
      <xdr:row>5</xdr:row>
      <xdr:rowOff>38100</xdr:rowOff>
    </xdr:from>
    <xdr:ext cx="1400175" cy="933450"/>
    <xdr:graphicFrame macro="">
      <xdr:nvGraphicFramePr>
        <xdr:cNvPr id="53341350" name="Chart 5">
          <a:extLst>
            <a:ext uri="{FF2B5EF4-FFF2-40B4-BE49-F238E27FC236}">
              <a16:creationId xmlns:a16="http://schemas.microsoft.com/office/drawing/2014/main" id="{00000000-0008-0000-0400-0000A6EC2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600075</xdr:colOff>
      <xdr:row>10</xdr:row>
      <xdr:rowOff>95250</xdr:rowOff>
    </xdr:from>
    <xdr:ext cx="2295525" cy="1743075"/>
    <xdr:graphicFrame macro="">
      <xdr:nvGraphicFramePr>
        <xdr:cNvPr id="177832711" name="Chart 6">
          <a:extLst>
            <a:ext uri="{FF2B5EF4-FFF2-40B4-BE49-F238E27FC236}">
              <a16:creationId xmlns:a16="http://schemas.microsoft.com/office/drawing/2014/main" id="{00000000-0008-0000-0400-000007839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561975</xdr:colOff>
      <xdr:row>10</xdr:row>
      <xdr:rowOff>95250</xdr:rowOff>
    </xdr:from>
    <xdr:ext cx="2305050" cy="1695450"/>
    <xdr:graphicFrame macro="">
      <xdr:nvGraphicFramePr>
        <xdr:cNvPr id="60845771" name="Chart 7">
          <a:extLst>
            <a:ext uri="{FF2B5EF4-FFF2-40B4-BE49-F238E27FC236}">
              <a16:creationId xmlns:a16="http://schemas.microsoft.com/office/drawing/2014/main" id="{00000000-0008-0000-0400-0000CB6EA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600075</xdr:colOff>
      <xdr:row>20</xdr:row>
      <xdr:rowOff>38100</xdr:rowOff>
    </xdr:from>
    <xdr:ext cx="2390775" cy="2066925"/>
    <xdr:graphicFrame macro="">
      <xdr:nvGraphicFramePr>
        <xdr:cNvPr id="520150231" name="Chart 8">
          <a:extLst>
            <a:ext uri="{FF2B5EF4-FFF2-40B4-BE49-F238E27FC236}">
              <a16:creationId xmlns:a16="http://schemas.microsoft.com/office/drawing/2014/main" id="{00000000-0008-0000-0400-0000D7DC0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24</xdr:col>
      <xdr:colOff>0</xdr:colOff>
      <xdr:row>17</xdr:row>
      <xdr:rowOff>76200</xdr:rowOff>
    </xdr:from>
    <xdr:ext cx="209550" cy="180975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/>
      </xdr:nvSpPr>
      <xdr:spPr>
        <a:xfrm>
          <a:off x="5250750" y="3689513"/>
          <a:ext cx="190500" cy="18097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304800</xdr:colOff>
      <xdr:row>2</xdr:row>
      <xdr:rowOff>161925</xdr:rowOff>
    </xdr:from>
    <xdr:ext cx="266700" cy="276225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/>
      </xdr:nvSpPr>
      <xdr:spPr>
        <a:xfrm>
          <a:off x="5217413" y="3651413"/>
          <a:ext cx="257175" cy="25717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6</xdr:col>
      <xdr:colOff>123825</xdr:colOff>
      <xdr:row>20</xdr:row>
      <xdr:rowOff>66675</xdr:rowOff>
    </xdr:from>
    <xdr:ext cx="990600" cy="952500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/>
      </xdr:nvSpPr>
      <xdr:spPr>
        <a:xfrm>
          <a:off x="4855463" y="3308513"/>
          <a:ext cx="981075" cy="942975"/>
        </a:xfrm>
        <a:prstGeom prst="rect">
          <a:avLst/>
        </a:prstGeom>
        <a:solidFill>
          <a:srgbClr val="C4E0B2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COST OF PRODUCTION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TEA - 96/-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RUBBER - 161/-</a:t>
          </a:r>
          <a:endParaRPr sz="1400"/>
        </a:p>
      </xdr:txBody>
    </xdr:sp>
    <xdr:clientData fLocksWithSheet="0"/>
  </xdr:oneCellAnchor>
  <xdr:oneCellAnchor>
    <xdr:from>
      <xdr:col>7</xdr:col>
      <xdr:colOff>19050</xdr:colOff>
      <xdr:row>1</xdr:row>
      <xdr:rowOff>152400</xdr:rowOff>
    </xdr:from>
    <xdr:ext cx="476250" cy="476250"/>
    <xdr:pic>
      <xdr:nvPicPr>
        <xdr:cNvPr id="2" name="image2.png" descr="Male profile with solid fil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3</xdr:row>
      <xdr:rowOff>57150</xdr:rowOff>
    </xdr:from>
    <xdr:ext cx="409575" cy="400050"/>
    <xdr:pic>
      <xdr:nvPicPr>
        <xdr:cNvPr id="3" name="image22.png" descr="Envelope with solid fill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381000</xdr:colOff>
      <xdr:row>27</xdr:row>
      <xdr:rowOff>0</xdr:rowOff>
    </xdr:from>
    <xdr:ext cx="209550" cy="18097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571500</xdr:colOff>
      <xdr:row>9</xdr:row>
      <xdr:rowOff>152400</xdr:rowOff>
    </xdr:from>
    <xdr:ext cx="371475" cy="285750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SpPr/>
      </xdr:nvSpPr>
      <xdr:spPr>
        <a:xfrm>
          <a:off x="5169788" y="3641888"/>
          <a:ext cx="3524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12</xdr:col>
      <xdr:colOff>381000</xdr:colOff>
      <xdr:row>27</xdr:row>
      <xdr:rowOff>0</xdr:rowOff>
    </xdr:from>
    <xdr:ext cx="209550" cy="18097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304800</xdr:colOff>
      <xdr:row>18</xdr:row>
      <xdr:rowOff>104775</xdr:rowOff>
    </xdr:from>
    <xdr:ext cx="1514475" cy="1733550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SpPr/>
      </xdr:nvSpPr>
      <xdr:spPr>
        <a:xfrm>
          <a:off x="4593525" y="2917988"/>
          <a:ext cx="1504950" cy="1724025"/>
        </a:xfrm>
        <a:prstGeom prst="roundRect">
          <a:avLst>
            <a:gd name="adj" fmla="val 16667"/>
          </a:avLst>
        </a:prstGeom>
        <a:solidFill>
          <a:srgbClr val="FFF2CC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MK Division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Field No 12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U 709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Qty 300 Kg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GTN No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Handed over to :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Vehicle No :  </a:t>
          </a:r>
          <a:endParaRPr sz="1400"/>
        </a:p>
      </xdr:txBody>
    </xdr:sp>
    <xdr:clientData fLocksWithSheet="0"/>
  </xdr:oneCellAnchor>
  <xdr:oneCellAnchor>
    <xdr:from>
      <xdr:col>10</xdr:col>
      <xdr:colOff>561975</xdr:colOff>
      <xdr:row>14</xdr:row>
      <xdr:rowOff>114300</xdr:rowOff>
    </xdr:from>
    <xdr:ext cx="476250" cy="142875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SpPr/>
      </xdr:nvSpPr>
      <xdr:spPr>
        <a:xfrm>
          <a:off x="5112638" y="3713325"/>
          <a:ext cx="466725" cy="133350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552450</xdr:colOff>
      <xdr:row>16</xdr:row>
      <xdr:rowOff>47625</xdr:rowOff>
    </xdr:from>
    <xdr:ext cx="476250" cy="142875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SpPr/>
      </xdr:nvSpPr>
      <xdr:spPr>
        <a:xfrm>
          <a:off x="5112638" y="3713325"/>
          <a:ext cx="466725" cy="133350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57150</xdr:colOff>
      <xdr:row>17</xdr:row>
      <xdr:rowOff>76200</xdr:rowOff>
    </xdr:from>
    <xdr:ext cx="495300" cy="142875"/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SpPr/>
      </xdr:nvSpPr>
      <xdr:spPr>
        <a:xfrm>
          <a:off x="5103113" y="3713325"/>
          <a:ext cx="485775" cy="133350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56</xdr:row>
      <xdr:rowOff>0</xdr:rowOff>
    </xdr:from>
    <xdr:ext cx="209550" cy="180975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571500</xdr:colOff>
      <xdr:row>38</xdr:row>
      <xdr:rowOff>152400</xdr:rowOff>
    </xdr:from>
    <xdr:ext cx="371475" cy="285750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169788" y="3641888"/>
          <a:ext cx="352425" cy="276225"/>
        </a:xfrm>
        <a:prstGeom prst="wedgeRoundRectCallout">
          <a:avLst>
            <a:gd name="adj1" fmla="val -36218"/>
            <a:gd name="adj2" fmla="val 70833"/>
            <a:gd name="adj3" fmla="val 16667"/>
          </a:avLst>
        </a:prstGeom>
        <a:solidFill>
          <a:srgbClr val="FF0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12</xdr:col>
      <xdr:colOff>381000</xdr:colOff>
      <xdr:row>56</xdr:row>
      <xdr:rowOff>0</xdr:rowOff>
    </xdr:from>
    <xdr:ext cx="209550" cy="180975"/>
    <xdr:sp macro="" textlink="">
      <xdr:nvSpPr>
        <xdr:cNvPr id="2" name="Shape 12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114300</xdr:colOff>
      <xdr:row>33</xdr:row>
      <xdr:rowOff>104775</xdr:rowOff>
    </xdr:from>
    <xdr:ext cx="1323975" cy="2171700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SpPr/>
      </xdr:nvSpPr>
      <xdr:spPr>
        <a:xfrm>
          <a:off x="4688775" y="2698913"/>
          <a:ext cx="1314450" cy="2162175"/>
        </a:xfrm>
        <a:prstGeom prst="roundRect">
          <a:avLst>
            <a:gd name="adj" fmla="val 16667"/>
          </a:avLst>
        </a:prstGeom>
        <a:solidFill>
          <a:srgbClr val="C4E0B2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Item: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Item Code: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Qty: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Supplier :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Special Remarks: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4</xdr:col>
      <xdr:colOff>219075</xdr:colOff>
      <xdr:row>38</xdr:row>
      <xdr:rowOff>104775</xdr:rowOff>
    </xdr:from>
    <xdr:ext cx="1028700" cy="542925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SpPr/>
      </xdr:nvSpPr>
      <xdr:spPr>
        <a:xfrm>
          <a:off x="4841175" y="3513300"/>
          <a:ext cx="1009650" cy="5334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Remarks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:</a:t>
          </a:r>
          <a:endParaRPr sz="1400"/>
        </a:p>
      </xdr:txBody>
    </xdr:sp>
    <xdr:clientData fLocksWithSheet="0"/>
  </xdr:oneCellAnchor>
  <xdr:oneCellAnchor>
    <xdr:from>
      <xdr:col>4</xdr:col>
      <xdr:colOff>152400</xdr:colOff>
      <xdr:row>42</xdr:row>
      <xdr:rowOff>142875</xdr:rowOff>
    </xdr:from>
    <xdr:ext cx="571500" cy="285750"/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SpPr/>
      </xdr:nvSpPr>
      <xdr:spPr>
        <a:xfrm>
          <a:off x="5065013" y="3641888"/>
          <a:ext cx="561975" cy="276225"/>
        </a:xfrm>
        <a:prstGeom prst="rect">
          <a:avLst/>
        </a:prstGeom>
        <a:solidFill>
          <a:srgbClr val="00B05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Accept</a:t>
          </a:r>
          <a:endParaRPr sz="1400"/>
        </a:p>
      </xdr:txBody>
    </xdr:sp>
    <xdr:clientData fLocksWithSheet="0"/>
  </xdr:oneCellAnchor>
  <xdr:oneCellAnchor>
    <xdr:from>
      <xdr:col>5</xdr:col>
      <xdr:colOff>228600</xdr:colOff>
      <xdr:row>42</xdr:row>
      <xdr:rowOff>152400</xdr:rowOff>
    </xdr:from>
    <xdr:ext cx="571500" cy="285750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SpPr/>
      </xdr:nvSpPr>
      <xdr:spPr>
        <a:xfrm>
          <a:off x="5065013" y="3641888"/>
          <a:ext cx="561975" cy="276225"/>
        </a:xfrm>
        <a:prstGeom prst="rect">
          <a:avLst/>
        </a:prstGeom>
        <a:solidFill>
          <a:srgbClr val="FFFF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Return</a:t>
          </a:r>
          <a:endParaRPr sz="1400"/>
        </a:p>
      </xdr:txBody>
    </xdr:sp>
    <xdr:clientData fLocksWithSheet="0"/>
  </xdr:oneCellAnchor>
  <xdr:oneCellAnchor>
    <xdr:from>
      <xdr:col>13</xdr:col>
      <xdr:colOff>514350</xdr:colOff>
      <xdr:row>3</xdr:row>
      <xdr:rowOff>28575</xdr:rowOff>
    </xdr:from>
    <xdr:ext cx="914400" cy="914400"/>
    <xdr:pic>
      <xdr:nvPicPr>
        <xdr:cNvPr id="3" name="image2.png" descr="Male profile with solid fill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514350</xdr:colOff>
      <xdr:row>32</xdr:row>
      <xdr:rowOff>28575</xdr:rowOff>
    </xdr:from>
    <xdr:ext cx="914400" cy="914400"/>
    <xdr:pic>
      <xdr:nvPicPr>
        <xdr:cNvPr id="4" name="image2.png" descr="Male profile with solid fill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180975" cy="180975"/>
    <xdr:pic>
      <xdr:nvPicPr>
        <xdr:cNvPr id="5" name="image16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W378"/>
  <sheetViews>
    <sheetView tabSelected="1" topLeftCell="A345" zoomScale="77" zoomScaleNormal="100" workbookViewId="0">
      <selection activeCell="V361" sqref="V361"/>
    </sheetView>
  </sheetViews>
  <sheetFormatPr defaultColWidth="14.44140625" defaultRowHeight="15" customHeight="1" x14ac:dyDescent="0.3"/>
  <cols>
    <col min="1" max="3" width="8.6640625" customWidth="1"/>
    <col min="4" max="4" width="10.33203125" customWidth="1"/>
    <col min="5" max="5" width="8.6640625" customWidth="1"/>
    <col min="6" max="6" width="19.6640625" customWidth="1"/>
    <col min="7" max="7" width="10.5546875" customWidth="1"/>
    <col min="8" max="8" width="11.88671875" customWidth="1"/>
    <col min="9" max="9" width="9.33203125" customWidth="1"/>
    <col min="10" max="10" width="13.88671875" customWidth="1"/>
    <col min="11" max="32" width="8.6640625" customWidth="1"/>
    <col min="33" max="66" width="4.6640625" customWidth="1"/>
    <col min="67" max="101" width="8.6640625" customWidth="1"/>
  </cols>
  <sheetData>
    <row r="1" spans="2:16" ht="14.25" customHeight="1" x14ac:dyDescent="0.3"/>
    <row r="2" spans="2:16" ht="14.25" customHeight="1" x14ac:dyDescent="0.3"/>
    <row r="3" spans="2:16" ht="14.25" customHeight="1" x14ac:dyDescent="0.3"/>
    <row r="4" spans="2:16" ht="14.25" customHeight="1" x14ac:dyDescent="0.3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</row>
    <row r="5" spans="2:16" ht="14.25" customHeight="1" x14ac:dyDescent="0.3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</row>
    <row r="6" spans="2:16" ht="14.25" customHeight="1" x14ac:dyDescent="0.3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spans="2:16" ht="14.25" customHeight="1" x14ac:dyDescent="0.3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/>
    </row>
    <row r="8" spans="2:16" ht="14.25" customHeight="1" x14ac:dyDescent="0.3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/>
    </row>
    <row r="9" spans="2:16" ht="14.25" customHeight="1" x14ac:dyDescent="0.3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/>
    </row>
    <row r="10" spans="2:16" ht="14.25" customHeight="1" x14ac:dyDescent="0.3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</row>
    <row r="11" spans="2:16" ht="14.25" customHeight="1" x14ac:dyDescent="0.3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/>
    </row>
    <row r="12" spans="2:16" ht="14.25" customHeight="1" x14ac:dyDescent="0.3">
      <c r="B12" s="4"/>
      <c r="C12" s="344" t="s">
        <v>0</v>
      </c>
      <c r="D12" s="345"/>
      <c r="E12" s="345"/>
      <c r="F12" s="345"/>
      <c r="G12" s="346"/>
      <c r="H12" s="5"/>
      <c r="I12" s="5"/>
      <c r="J12" s="5"/>
      <c r="K12" s="5"/>
      <c r="L12" s="5"/>
      <c r="M12" s="5"/>
      <c r="N12" s="5"/>
      <c r="O12" s="5"/>
      <c r="P12" s="6"/>
    </row>
    <row r="13" spans="2:16" ht="14.25" customHeight="1" x14ac:dyDescent="0.3">
      <c r="B13" s="4"/>
      <c r="C13" s="347"/>
      <c r="D13" s="296"/>
      <c r="E13" s="296"/>
      <c r="F13" s="296"/>
      <c r="G13" s="348"/>
      <c r="H13" s="5"/>
      <c r="I13" s="5"/>
      <c r="J13" s="5" t="s">
        <v>1</v>
      </c>
      <c r="K13" s="352"/>
      <c r="L13" s="315"/>
      <c r="M13" s="309"/>
      <c r="N13" s="5"/>
      <c r="O13" s="5"/>
      <c r="P13" s="6"/>
    </row>
    <row r="14" spans="2:16" ht="14.25" customHeight="1" x14ac:dyDescent="0.3">
      <c r="B14" s="4"/>
      <c r="C14" s="349"/>
      <c r="D14" s="350"/>
      <c r="E14" s="350"/>
      <c r="F14" s="350"/>
      <c r="G14" s="351"/>
      <c r="H14" s="5"/>
      <c r="I14" s="5"/>
      <c r="J14" s="5"/>
      <c r="K14" s="5"/>
      <c r="L14" s="5"/>
      <c r="M14" s="5"/>
      <c r="N14" s="5"/>
      <c r="O14" s="5"/>
      <c r="P14" s="6"/>
    </row>
    <row r="15" spans="2:16" ht="14.25" customHeight="1" x14ac:dyDescent="0.3">
      <c r="B15" s="4"/>
      <c r="C15" s="5"/>
      <c r="D15" s="5"/>
      <c r="E15" s="5"/>
      <c r="F15" s="5"/>
      <c r="G15" s="5"/>
      <c r="H15" s="5"/>
      <c r="I15" s="5"/>
      <c r="J15" s="5" t="s">
        <v>2</v>
      </c>
      <c r="K15" s="352"/>
      <c r="L15" s="315"/>
      <c r="M15" s="309"/>
      <c r="N15" s="5"/>
      <c r="O15" s="5"/>
      <c r="P15" s="6"/>
    </row>
    <row r="16" spans="2:16" ht="14.25" customHeight="1" x14ac:dyDescent="0.3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17" spans="2:16" ht="14.25" customHeight="1" x14ac:dyDescent="0.3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6"/>
    </row>
    <row r="18" spans="2:16" ht="14.25" customHeight="1" x14ac:dyDescent="0.3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6"/>
    </row>
    <row r="19" spans="2:16" ht="14.25" customHeight="1" x14ac:dyDescent="0.3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"/>
    </row>
    <row r="20" spans="2:16" ht="14.25" customHeight="1" x14ac:dyDescent="0.3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</row>
    <row r="21" spans="2:16" ht="14.25" customHeight="1" x14ac:dyDescent="0.3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6"/>
    </row>
    <row r="22" spans="2:16" ht="14.25" customHeight="1" x14ac:dyDescent="0.3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6"/>
    </row>
    <row r="23" spans="2:16" ht="14.25" customHeight="1" x14ac:dyDescent="0.3"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6"/>
    </row>
    <row r="24" spans="2:16" ht="14.25" customHeight="1" x14ac:dyDescent="0.3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6"/>
    </row>
    <row r="25" spans="2:16" ht="14.25" customHeight="1" x14ac:dyDescent="0.3">
      <c r="B25" s="4"/>
      <c r="C25" s="5"/>
      <c r="D25" s="5"/>
      <c r="E25" s="5"/>
      <c r="G25" s="5" t="s">
        <v>3</v>
      </c>
      <c r="H25" s="5"/>
      <c r="I25" s="5"/>
      <c r="J25" s="5"/>
      <c r="K25" s="5"/>
      <c r="L25" s="5"/>
      <c r="M25" s="5"/>
      <c r="N25" s="5"/>
      <c r="O25" s="5"/>
      <c r="P25" s="6"/>
    </row>
    <row r="26" spans="2:16" ht="14.25" customHeight="1" x14ac:dyDescent="0.3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6"/>
    </row>
    <row r="27" spans="2:16" ht="14.25" customHeight="1" x14ac:dyDescent="0.3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6"/>
    </row>
    <row r="28" spans="2:16" ht="14.25" customHeight="1" x14ac:dyDescent="0.3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6"/>
    </row>
    <row r="29" spans="2:16" ht="14.25" customHeight="1" x14ac:dyDescent="0.3"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"/>
    </row>
    <row r="30" spans="2:16" ht="14.25" customHeight="1" x14ac:dyDescent="0.3"/>
    <row r="31" spans="2:16" ht="14.25" customHeight="1" x14ac:dyDescent="0.3"/>
    <row r="32" spans="2:16" ht="13.8" customHeight="1" x14ac:dyDescent="0.3"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3"/>
    </row>
    <row r="33" spans="2:16" ht="21.6" customHeight="1" x14ac:dyDescent="0.45">
      <c r="B33" s="353" t="s">
        <v>0</v>
      </c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301"/>
    </row>
    <row r="34" spans="2:16" ht="14.25" customHeight="1" x14ac:dyDescent="0.35">
      <c r="B34" s="4"/>
      <c r="C34" s="354" t="s">
        <v>4</v>
      </c>
      <c r="D34" s="293"/>
      <c r="E34" s="294"/>
      <c r="F34" s="5"/>
      <c r="G34" s="5"/>
      <c r="H34" s="355" t="s">
        <v>5</v>
      </c>
      <c r="I34" s="293"/>
      <c r="J34" s="294"/>
      <c r="K34" s="5"/>
      <c r="L34" s="5"/>
      <c r="M34" s="5"/>
      <c r="N34" s="5"/>
      <c r="O34" s="5"/>
      <c r="P34" s="6"/>
    </row>
    <row r="35" spans="2:16" ht="14.25" customHeight="1" x14ac:dyDescent="0.35">
      <c r="B35" s="4"/>
      <c r="C35" s="10" t="s">
        <v>6</v>
      </c>
      <c r="D35" s="10"/>
      <c r="E35" s="10"/>
      <c r="F35" s="5"/>
      <c r="G35" s="5"/>
      <c r="H35" s="5"/>
      <c r="I35" s="5"/>
      <c r="J35" s="5"/>
      <c r="K35" s="5"/>
      <c r="L35" s="5"/>
      <c r="M35" s="5"/>
      <c r="N35" s="11"/>
      <c r="O35" s="5"/>
      <c r="P35" s="6"/>
    </row>
    <row r="36" spans="2:16" ht="14.25" customHeight="1" x14ac:dyDescent="0.3">
      <c r="B36" s="4"/>
      <c r="D36" s="5"/>
      <c r="E36" s="5"/>
      <c r="F36" s="5"/>
      <c r="G36" s="5"/>
      <c r="H36" s="12">
        <v>45479</v>
      </c>
      <c r="I36" s="5"/>
      <c r="J36" s="13">
        <v>0.30952546296296296</v>
      </c>
      <c r="K36" s="5" t="s">
        <v>7</v>
      </c>
      <c r="L36" s="5"/>
      <c r="M36" s="5"/>
      <c r="N36" s="11"/>
      <c r="O36" s="5"/>
      <c r="P36" s="6"/>
    </row>
    <row r="37" spans="2:16" ht="14.25" customHeight="1" x14ac:dyDescent="0.3">
      <c r="B37" s="4"/>
      <c r="C37" s="14" t="s">
        <v>8</v>
      </c>
      <c r="D37" s="14"/>
      <c r="E37" s="5"/>
      <c r="F37" s="5"/>
      <c r="G37" s="5"/>
      <c r="H37" s="5"/>
      <c r="I37" s="5"/>
      <c r="J37" s="5"/>
      <c r="K37" s="5"/>
      <c r="L37" s="5"/>
      <c r="M37" s="5"/>
      <c r="N37" s="356" t="s">
        <v>4</v>
      </c>
      <c r="O37" s="293"/>
      <c r="P37" s="294"/>
    </row>
    <row r="38" spans="2:16" ht="14.25" customHeight="1" x14ac:dyDescent="0.3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 t="s">
        <v>6</v>
      </c>
      <c r="O38" s="5"/>
      <c r="P38" s="5"/>
    </row>
    <row r="39" spans="2:16" ht="14.25" customHeight="1" x14ac:dyDescent="0.3">
      <c r="B39" s="4"/>
      <c r="C39" s="14" t="s">
        <v>9</v>
      </c>
      <c r="D39" s="14"/>
      <c r="E39" s="5"/>
      <c r="F39" s="5"/>
      <c r="G39" s="357" t="s">
        <v>10</v>
      </c>
      <c r="H39" s="358"/>
      <c r="I39" s="359" t="s">
        <v>11</v>
      </c>
      <c r="J39" s="358"/>
      <c r="K39" s="360" t="s">
        <v>12</v>
      </c>
      <c r="L39" s="361"/>
      <c r="M39" s="15"/>
      <c r="N39" s="16"/>
      <c r="O39" s="5"/>
      <c r="P39" s="6"/>
    </row>
    <row r="40" spans="2:16" ht="14.25" customHeight="1" x14ac:dyDescent="0.3">
      <c r="B40" s="4"/>
      <c r="C40" s="17"/>
      <c r="D40" s="17"/>
      <c r="E40" s="17"/>
      <c r="F40" s="18"/>
      <c r="G40" s="19" t="s">
        <v>13</v>
      </c>
      <c r="H40" s="20" t="s">
        <v>14</v>
      </c>
      <c r="I40" s="21" t="s">
        <v>13</v>
      </c>
      <c r="J40" s="21" t="s">
        <v>14</v>
      </c>
      <c r="K40" s="22" t="s">
        <v>13</v>
      </c>
      <c r="L40" s="23" t="s">
        <v>14</v>
      </c>
      <c r="M40" s="5"/>
      <c r="N40" s="304" t="s">
        <v>15</v>
      </c>
      <c r="O40" s="293"/>
      <c r="P40" s="301"/>
    </row>
    <row r="41" spans="2:16" ht="14.25" customHeight="1" x14ac:dyDescent="0.3">
      <c r="B41" s="4"/>
      <c r="C41" s="24" t="s">
        <v>16</v>
      </c>
      <c r="D41" s="25"/>
      <c r="E41" s="17"/>
      <c r="F41" s="26" t="s">
        <v>17</v>
      </c>
      <c r="G41" s="27"/>
      <c r="H41" s="28">
        <v>30000</v>
      </c>
      <c r="I41" s="27"/>
      <c r="J41" s="28">
        <v>12000</v>
      </c>
      <c r="K41" s="29"/>
      <c r="L41" s="30">
        <v>445</v>
      </c>
      <c r="M41" s="5"/>
      <c r="N41" s="11"/>
      <c r="P41" s="6"/>
    </row>
    <row r="42" spans="2:16" ht="14.25" customHeight="1" x14ac:dyDescent="0.3">
      <c r="B42" s="4"/>
      <c r="C42" s="17"/>
      <c r="D42" s="17"/>
      <c r="E42" s="17"/>
      <c r="F42" s="31" t="s">
        <v>18</v>
      </c>
      <c r="G42" s="32">
        <v>1381</v>
      </c>
      <c r="H42" s="33">
        <v>7182</v>
      </c>
      <c r="I42" s="32">
        <v>562</v>
      </c>
      <c r="J42" s="33">
        <v>2740</v>
      </c>
      <c r="K42" s="34">
        <v>22</v>
      </c>
      <c r="L42" s="35">
        <v>110</v>
      </c>
      <c r="M42" s="5"/>
      <c r="N42" s="304" t="s">
        <v>19</v>
      </c>
      <c r="O42" s="293"/>
      <c r="P42" s="301"/>
    </row>
    <row r="43" spans="2:16" ht="14.25" customHeight="1" x14ac:dyDescent="0.3">
      <c r="B43" s="4"/>
      <c r="C43" s="14" t="s">
        <v>20</v>
      </c>
      <c r="D43" s="14"/>
      <c r="E43" s="5"/>
      <c r="F43" s="36" t="s">
        <v>21</v>
      </c>
      <c r="G43" s="37"/>
      <c r="H43" s="38">
        <f>7182/5</f>
        <v>1436.4</v>
      </c>
      <c r="I43" s="37"/>
      <c r="J43" s="38">
        <v>548</v>
      </c>
      <c r="K43" s="39"/>
      <c r="L43" s="40">
        <v>22</v>
      </c>
      <c r="M43" s="5"/>
      <c r="N43" s="11"/>
      <c r="O43" s="5"/>
      <c r="P43" s="6"/>
    </row>
    <row r="44" spans="2:16" ht="14.25" customHeight="1" x14ac:dyDescent="0.3">
      <c r="B44" s="4"/>
      <c r="C44" s="5"/>
      <c r="D44" s="5"/>
      <c r="E44" s="5"/>
      <c r="F44" s="41" t="s">
        <v>22</v>
      </c>
      <c r="G44" s="42"/>
      <c r="H44" s="43">
        <f>H41-H42</f>
        <v>22818</v>
      </c>
      <c r="I44" s="42"/>
      <c r="J44" s="43">
        <f>J41-J42</f>
        <v>9260</v>
      </c>
      <c r="K44" s="44"/>
      <c r="L44" s="45">
        <f>L41-L42</f>
        <v>335</v>
      </c>
      <c r="M44" s="5"/>
      <c r="N44" s="11"/>
      <c r="O44" s="5"/>
      <c r="P44" s="6"/>
    </row>
    <row r="45" spans="2:16" ht="14.25" customHeight="1" x14ac:dyDescent="0.3">
      <c r="B45" s="4"/>
      <c r="C45" s="14" t="s">
        <v>23</v>
      </c>
      <c r="D45" s="14"/>
      <c r="E45" s="5"/>
      <c r="F45" s="46" t="s">
        <v>24</v>
      </c>
      <c r="G45" s="47"/>
      <c r="H45" s="38">
        <f>H44/17</f>
        <v>1342.2352941176471</v>
      </c>
      <c r="I45" s="47"/>
      <c r="J45" s="38">
        <f>J44/17</f>
        <v>544.70588235294122</v>
      </c>
      <c r="K45" s="39"/>
      <c r="L45" s="48">
        <f>L44/17</f>
        <v>19.705882352941178</v>
      </c>
      <c r="M45" s="5"/>
      <c r="N45" s="11"/>
      <c r="O45" s="5"/>
      <c r="P45" s="6"/>
    </row>
    <row r="46" spans="2:16" ht="14.25" customHeight="1" x14ac:dyDescent="0.3">
      <c r="B46" s="4"/>
      <c r="C46" s="5"/>
      <c r="D46" s="5"/>
      <c r="E46" s="5"/>
      <c r="F46" s="31" t="s">
        <v>25</v>
      </c>
      <c r="G46" s="49"/>
      <c r="H46" s="49">
        <v>5</v>
      </c>
      <c r="I46" s="49"/>
      <c r="J46" s="49">
        <v>5</v>
      </c>
      <c r="K46" s="34"/>
      <c r="L46" s="35">
        <v>5</v>
      </c>
      <c r="M46" s="5"/>
      <c r="N46" s="11"/>
      <c r="O46" s="5"/>
      <c r="P46" s="6"/>
    </row>
    <row r="47" spans="2:16" ht="14.25" customHeight="1" x14ac:dyDescent="0.3">
      <c r="B47" s="4"/>
      <c r="C47" s="14" t="s">
        <v>26</v>
      </c>
      <c r="D47" s="14"/>
      <c r="E47" s="5"/>
      <c r="F47" s="50" t="s">
        <v>27</v>
      </c>
      <c r="G47" s="27">
        <v>23.4</v>
      </c>
      <c r="H47" s="27">
        <v>23.42</v>
      </c>
      <c r="I47" s="27">
        <v>7.25</v>
      </c>
      <c r="J47" s="27">
        <v>7.9</v>
      </c>
      <c r="K47" s="29"/>
      <c r="L47" s="30"/>
      <c r="M47" s="5"/>
      <c r="N47" s="11"/>
      <c r="O47" s="5"/>
      <c r="P47" s="6"/>
    </row>
    <row r="48" spans="2:16" ht="14.25" customHeight="1" x14ac:dyDescent="0.3">
      <c r="B48" s="4"/>
      <c r="C48" s="5"/>
      <c r="D48" s="5"/>
      <c r="E48" s="5"/>
      <c r="F48" s="31" t="s">
        <v>28</v>
      </c>
      <c r="G48" s="49">
        <v>71.12</v>
      </c>
      <c r="H48" s="49">
        <v>70.239999999999995</v>
      </c>
      <c r="I48" s="49">
        <v>126.2</v>
      </c>
      <c r="J48" s="49">
        <v>125.9</v>
      </c>
      <c r="K48" s="34"/>
      <c r="L48" s="35"/>
      <c r="M48" s="5"/>
      <c r="N48" s="11"/>
      <c r="O48" s="51" t="s">
        <v>29</v>
      </c>
      <c r="P48" s="6"/>
    </row>
    <row r="49" spans="2:16" ht="14.25" customHeight="1" x14ac:dyDescent="0.3">
      <c r="B49" s="4"/>
      <c r="C49" s="14" t="s">
        <v>30</v>
      </c>
      <c r="D49" s="14"/>
      <c r="E49" s="5"/>
      <c r="F49" s="46" t="s">
        <v>31</v>
      </c>
      <c r="G49" s="47">
        <v>23.25</v>
      </c>
      <c r="H49" s="47">
        <v>26.24</v>
      </c>
      <c r="I49" s="47">
        <v>43.2</v>
      </c>
      <c r="J49" s="47">
        <v>42.2</v>
      </c>
      <c r="K49" s="39"/>
      <c r="L49" s="40"/>
      <c r="M49" s="5"/>
      <c r="N49" s="11"/>
      <c r="O49" s="5"/>
      <c r="P49" s="6"/>
    </row>
    <row r="50" spans="2:16" ht="14.25" customHeight="1" x14ac:dyDescent="0.3">
      <c r="B50" s="4"/>
      <c r="C50" s="5"/>
      <c r="D50" s="5"/>
      <c r="E50" s="5"/>
      <c r="F50" s="52" t="s">
        <v>32</v>
      </c>
      <c r="G50" s="53">
        <v>3.12</v>
      </c>
      <c r="H50" s="53">
        <v>3.01</v>
      </c>
      <c r="I50" s="53">
        <v>5.12</v>
      </c>
      <c r="J50" s="53">
        <v>5.2</v>
      </c>
      <c r="K50" s="44"/>
      <c r="L50" s="45"/>
      <c r="M50" s="5"/>
      <c r="N50" s="11"/>
      <c r="O50" s="5"/>
      <c r="P50" s="6"/>
    </row>
    <row r="51" spans="2:16" ht="14.25" customHeight="1" x14ac:dyDescent="0.3">
      <c r="B51" s="4"/>
      <c r="C51" s="14" t="s">
        <v>33</v>
      </c>
      <c r="D51" s="14"/>
      <c r="E51" s="5"/>
      <c r="F51" s="46" t="s">
        <v>34</v>
      </c>
      <c r="G51" s="39"/>
      <c r="H51" s="39"/>
      <c r="I51" s="39"/>
      <c r="J51" s="39"/>
      <c r="K51" s="39"/>
      <c r="L51" s="40"/>
      <c r="M51" s="5"/>
      <c r="N51" s="11"/>
      <c r="O51" s="5"/>
      <c r="P51" s="6"/>
    </row>
    <row r="52" spans="2:16" ht="14.25" customHeight="1" x14ac:dyDescent="0.3">
      <c r="B52" s="4"/>
      <c r="C52" s="5"/>
      <c r="D52" s="5"/>
      <c r="E52" s="5"/>
      <c r="F52" s="54" t="s">
        <v>35</v>
      </c>
      <c r="G52" s="55">
        <v>1371</v>
      </c>
      <c r="H52" s="55">
        <v>7058</v>
      </c>
      <c r="I52" s="55">
        <v>546</v>
      </c>
      <c r="J52" s="55">
        <v>2691</v>
      </c>
      <c r="K52" s="55"/>
      <c r="L52" s="56"/>
      <c r="M52" s="5"/>
      <c r="N52" s="11"/>
      <c r="O52" s="5"/>
      <c r="P52" s="6"/>
    </row>
    <row r="53" spans="2:16" ht="14.25" customHeight="1" x14ac:dyDescent="0.3">
      <c r="B53" s="4"/>
      <c r="C53" s="14" t="s">
        <v>36</v>
      </c>
      <c r="D53" s="14"/>
      <c r="E53" s="5"/>
      <c r="F53" s="5"/>
      <c r="G53" s="5"/>
      <c r="H53" s="5"/>
      <c r="I53" s="5"/>
      <c r="J53" s="5"/>
      <c r="K53" s="5"/>
      <c r="L53" s="5"/>
      <c r="M53" s="5"/>
      <c r="N53" s="11"/>
      <c r="O53" s="5"/>
      <c r="P53" s="6"/>
    </row>
    <row r="54" spans="2:16" ht="14.25" customHeight="1" x14ac:dyDescent="0.3"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11"/>
      <c r="O54" s="5"/>
      <c r="P54" s="6"/>
    </row>
    <row r="55" spans="2:16" ht="14.25" customHeight="1" x14ac:dyDescent="0.3">
      <c r="B55" s="4"/>
      <c r="C55" s="14" t="s">
        <v>37</v>
      </c>
      <c r="D55" s="14"/>
      <c r="E55" s="5"/>
      <c r="G55" s="362" t="s">
        <v>38</v>
      </c>
      <c r="H55" s="294"/>
      <c r="I55" s="363" t="s">
        <v>39</v>
      </c>
      <c r="J55" s="294"/>
      <c r="K55" s="5"/>
      <c r="L55" s="5"/>
      <c r="M55" s="5"/>
      <c r="N55" s="11"/>
      <c r="O55" s="5"/>
      <c r="P55" s="6"/>
    </row>
    <row r="56" spans="2:16" ht="14.25" customHeight="1" x14ac:dyDescent="0.3"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11"/>
      <c r="O56" s="5"/>
      <c r="P56" s="6"/>
    </row>
    <row r="57" spans="2:16" ht="14.25" customHeight="1" x14ac:dyDescent="0.3"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57"/>
      <c r="O57" s="8"/>
      <c r="P57" s="9"/>
    </row>
    <row r="58" spans="2:16" ht="14.25" customHeight="1" x14ac:dyDescent="0.3"/>
    <row r="59" spans="2:16" ht="14.25" customHeight="1" x14ac:dyDescent="0.3"/>
    <row r="60" spans="2:16" ht="14.25" customHeight="1" x14ac:dyDescent="0.3"/>
    <row r="61" spans="2:16" ht="14.25" customHeight="1" x14ac:dyDescent="0.3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</row>
    <row r="62" spans="2:16" ht="14.25" customHeight="1" x14ac:dyDescent="0.35">
      <c r="B62" s="300" t="s">
        <v>0</v>
      </c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3"/>
      <c r="P62" s="301"/>
    </row>
    <row r="63" spans="2:16" ht="13.8" customHeight="1" x14ac:dyDescent="0.3">
      <c r="B63" s="305" t="s">
        <v>5</v>
      </c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3"/>
      <c r="P63" s="301"/>
    </row>
    <row r="64" spans="2:16" ht="23.4" customHeight="1" x14ac:dyDescent="0.45">
      <c r="B64" s="306" t="s">
        <v>9</v>
      </c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301"/>
    </row>
    <row r="65" spans="2:19" ht="14.25" customHeight="1" x14ac:dyDescent="0.3">
      <c r="B65" s="366" t="s">
        <v>40</v>
      </c>
      <c r="C65" s="361"/>
      <c r="D65" s="5"/>
      <c r="E65" s="5"/>
      <c r="F65" s="5"/>
      <c r="G65" s="5"/>
      <c r="H65" s="58">
        <v>45479</v>
      </c>
      <c r="I65" s="5"/>
      <c r="J65" s="5"/>
      <c r="K65" s="5"/>
      <c r="L65" s="5" t="s">
        <v>41</v>
      </c>
      <c r="M65" s="5"/>
      <c r="N65" s="11"/>
      <c r="O65" s="5"/>
      <c r="P65" s="6"/>
    </row>
    <row r="66" spans="2:19" ht="14.25" customHeight="1" x14ac:dyDescent="0.3">
      <c r="B66" s="59" t="s">
        <v>42</v>
      </c>
      <c r="C66" s="60" t="s">
        <v>43</v>
      </c>
      <c r="D66" s="61" t="s">
        <v>12</v>
      </c>
      <c r="E66" s="62" t="s">
        <v>44</v>
      </c>
      <c r="F66" s="63" t="s">
        <v>45</v>
      </c>
      <c r="G66" s="64"/>
      <c r="H66" s="64"/>
      <c r="I66" s="64"/>
      <c r="J66" s="64"/>
      <c r="K66" s="64"/>
      <c r="L66" s="64"/>
      <c r="M66" s="5"/>
      <c r="N66" s="5"/>
      <c r="O66" s="5"/>
      <c r="P66" s="6"/>
    </row>
    <row r="67" spans="2:19" ht="14.25" customHeight="1" x14ac:dyDescent="0.3">
      <c r="B67" s="11" t="s">
        <v>46</v>
      </c>
      <c r="C67" s="5"/>
      <c r="D67" s="5"/>
      <c r="E67" s="65"/>
      <c r="F67" s="5"/>
      <c r="G67" s="5"/>
      <c r="H67" s="5"/>
      <c r="I67" s="5"/>
      <c r="J67" s="5"/>
      <c r="K67" s="5"/>
      <c r="L67" s="5"/>
      <c r="M67" s="5"/>
      <c r="N67" s="321" t="s">
        <v>47</v>
      </c>
      <c r="O67" s="293"/>
      <c r="P67" s="301"/>
    </row>
    <row r="68" spans="2:19" ht="14.25" customHeight="1" x14ac:dyDescent="0.3">
      <c r="B68" s="66">
        <v>1</v>
      </c>
      <c r="C68" s="67" t="s">
        <v>48</v>
      </c>
      <c r="D68" s="5"/>
      <c r="E68" s="65"/>
      <c r="F68" s="5"/>
      <c r="G68" s="5"/>
      <c r="H68" s="5"/>
      <c r="I68" s="5"/>
      <c r="J68" s="5"/>
      <c r="K68" s="5"/>
      <c r="L68" s="5"/>
      <c r="M68" s="5"/>
      <c r="N68" s="321" t="s">
        <v>6</v>
      </c>
      <c r="O68" s="293"/>
      <c r="P68" s="301"/>
    </row>
    <row r="69" spans="2:19" ht="14.25" customHeight="1" x14ac:dyDescent="0.3">
      <c r="B69" s="68">
        <v>8</v>
      </c>
      <c r="C69" s="69" t="s">
        <v>49</v>
      </c>
      <c r="D69" s="70"/>
      <c r="E69" s="71"/>
      <c r="F69" s="70"/>
      <c r="G69" s="70"/>
      <c r="H69" s="5"/>
      <c r="I69" s="5"/>
      <c r="J69" s="5"/>
      <c r="K69" s="5"/>
      <c r="L69" s="5"/>
      <c r="M69" s="5"/>
      <c r="N69" s="11"/>
      <c r="O69" s="5"/>
      <c r="P69" s="6"/>
      <c r="R69" s="72"/>
      <c r="S69" s="73"/>
    </row>
    <row r="70" spans="2:19" ht="14.25" customHeight="1" x14ac:dyDescent="0.3">
      <c r="B70" s="66">
        <v>9</v>
      </c>
      <c r="C70" s="74" t="s">
        <v>50</v>
      </c>
      <c r="D70" s="70"/>
      <c r="E70" s="71"/>
      <c r="F70" s="70"/>
      <c r="G70" s="70"/>
      <c r="H70" s="5"/>
      <c r="I70" s="5"/>
      <c r="J70" s="5"/>
      <c r="K70" s="5"/>
      <c r="L70" s="5"/>
      <c r="M70" s="5"/>
      <c r="N70" s="304" t="s">
        <v>15</v>
      </c>
      <c r="O70" s="293"/>
      <c r="P70" s="301"/>
      <c r="R70" s="75"/>
      <c r="S70" s="76"/>
    </row>
    <row r="71" spans="2:19" ht="14.25" customHeight="1" x14ac:dyDescent="0.3">
      <c r="B71" s="66">
        <v>10</v>
      </c>
      <c r="C71" s="69" t="s">
        <v>51</v>
      </c>
      <c r="D71" s="70"/>
      <c r="E71" s="71"/>
      <c r="F71" s="70"/>
      <c r="G71" s="70"/>
      <c r="H71" s="5"/>
      <c r="I71" s="5"/>
      <c r="J71" s="5"/>
      <c r="K71" s="5"/>
      <c r="L71" s="5"/>
      <c r="M71" s="5"/>
      <c r="N71" s="11"/>
      <c r="O71" s="5"/>
      <c r="P71" s="6"/>
      <c r="R71" s="75"/>
      <c r="S71" s="76"/>
    </row>
    <row r="72" spans="2:19" ht="14.25" customHeight="1" x14ac:dyDescent="0.3">
      <c r="B72" s="66">
        <v>11</v>
      </c>
      <c r="C72" s="5" t="s">
        <v>52</v>
      </c>
      <c r="D72" s="5"/>
      <c r="E72" s="65"/>
      <c r="F72" s="5"/>
      <c r="G72" s="5"/>
      <c r="H72" s="5"/>
      <c r="I72" s="5"/>
      <c r="J72" s="5"/>
      <c r="K72" s="5"/>
      <c r="L72" s="5"/>
      <c r="M72" s="5"/>
      <c r="N72" s="304" t="s">
        <v>53</v>
      </c>
      <c r="O72" s="293"/>
      <c r="P72" s="301"/>
      <c r="R72" s="75"/>
      <c r="S72" s="76"/>
    </row>
    <row r="73" spans="2:19" ht="14.25" customHeight="1" x14ac:dyDescent="0.3">
      <c r="B73" s="66">
        <v>12</v>
      </c>
      <c r="C73" s="77" t="s">
        <v>54</v>
      </c>
      <c r="D73" s="5"/>
      <c r="E73" s="65"/>
      <c r="F73" s="5"/>
      <c r="G73" s="5"/>
      <c r="H73" s="5"/>
      <c r="I73" s="5"/>
      <c r="J73" s="5"/>
      <c r="K73" s="5"/>
      <c r="L73" s="5"/>
      <c r="M73" s="5"/>
      <c r="N73" s="11"/>
      <c r="O73" s="5"/>
      <c r="P73" s="6"/>
      <c r="R73" s="75"/>
      <c r="S73" s="76"/>
    </row>
    <row r="74" spans="2:19" ht="14.25" customHeight="1" x14ac:dyDescent="0.3">
      <c r="B74" s="66" t="s">
        <v>55</v>
      </c>
      <c r="C74" s="77" t="s">
        <v>56</v>
      </c>
      <c r="D74" s="5"/>
      <c r="E74" s="65"/>
      <c r="F74" s="5"/>
      <c r="G74" s="5"/>
      <c r="H74" s="5"/>
      <c r="I74" s="5"/>
      <c r="J74" s="5"/>
      <c r="K74" s="5"/>
      <c r="L74" s="5"/>
      <c r="M74" s="5"/>
      <c r="N74" s="303" t="s">
        <v>38</v>
      </c>
      <c r="O74" s="293"/>
      <c r="P74" s="301"/>
      <c r="R74" s="75"/>
      <c r="S74" s="76"/>
    </row>
    <row r="75" spans="2:19" ht="14.25" customHeight="1" x14ac:dyDescent="0.3">
      <c r="B75" s="66" t="s">
        <v>57</v>
      </c>
      <c r="C75" s="77" t="s">
        <v>58</v>
      </c>
      <c r="D75" s="5"/>
      <c r="E75" s="65"/>
      <c r="F75" s="5"/>
      <c r="G75" s="5"/>
      <c r="H75" s="5"/>
      <c r="I75" s="5"/>
      <c r="J75" s="5"/>
      <c r="K75" s="5"/>
      <c r="L75" s="5"/>
      <c r="M75" s="5"/>
      <c r="N75" s="11"/>
      <c r="O75" s="5"/>
      <c r="P75" s="6"/>
      <c r="R75" s="364" t="s">
        <v>59</v>
      </c>
      <c r="S75" s="365"/>
    </row>
    <row r="76" spans="2:19" ht="14.25" customHeight="1" x14ac:dyDescent="0.3">
      <c r="B76" s="66" t="s">
        <v>60</v>
      </c>
      <c r="C76" s="77" t="s">
        <v>61</v>
      </c>
      <c r="D76" s="5"/>
      <c r="E76" s="65"/>
      <c r="F76" s="5"/>
      <c r="G76" s="5"/>
      <c r="H76" s="5"/>
      <c r="I76" s="5"/>
      <c r="J76" s="5"/>
      <c r="K76" s="5"/>
      <c r="L76" s="5"/>
      <c r="M76" s="5"/>
      <c r="N76" s="304" t="s">
        <v>62</v>
      </c>
      <c r="O76" s="293"/>
      <c r="P76" s="301"/>
      <c r="R76" s="364" t="s">
        <v>63</v>
      </c>
      <c r="S76" s="365"/>
    </row>
    <row r="77" spans="2:19" ht="14.25" customHeight="1" x14ac:dyDescent="0.3">
      <c r="B77" s="66" t="s">
        <v>64</v>
      </c>
      <c r="C77" s="77" t="s">
        <v>65</v>
      </c>
      <c r="D77" s="5"/>
      <c r="E77" s="65"/>
      <c r="F77" s="5"/>
      <c r="G77" s="5"/>
      <c r="H77" s="5"/>
      <c r="I77" s="5"/>
      <c r="J77" s="5"/>
      <c r="K77" s="5"/>
      <c r="L77" s="5"/>
      <c r="M77" s="5"/>
      <c r="N77" s="11"/>
      <c r="O77" s="5"/>
      <c r="P77" s="6"/>
      <c r="R77" s="78"/>
      <c r="S77" s="79"/>
    </row>
    <row r="78" spans="2:19" ht="14.25" customHeight="1" x14ac:dyDescent="0.3">
      <c r="B78" s="66" t="s">
        <v>66</v>
      </c>
      <c r="C78" s="77" t="s">
        <v>67</v>
      </c>
      <c r="D78" s="5"/>
      <c r="E78" s="65"/>
      <c r="F78" s="5"/>
      <c r="G78" s="5"/>
      <c r="H78" s="5"/>
      <c r="I78" s="5"/>
      <c r="J78" s="5"/>
      <c r="K78" s="5"/>
      <c r="L78" s="5"/>
      <c r="M78" s="5"/>
      <c r="N78" s="303" t="s">
        <v>37</v>
      </c>
      <c r="O78" s="293"/>
      <c r="P78" s="301"/>
    </row>
    <row r="79" spans="2:19" ht="14.25" customHeight="1" x14ac:dyDescent="0.3">
      <c r="B79" s="66" t="s">
        <v>68</v>
      </c>
      <c r="C79" s="77" t="s">
        <v>69</v>
      </c>
      <c r="D79" s="5"/>
      <c r="E79" s="65"/>
      <c r="F79" s="5"/>
      <c r="G79" s="5"/>
      <c r="H79" s="5"/>
      <c r="I79" s="5"/>
      <c r="J79" s="5"/>
      <c r="K79" s="5"/>
      <c r="L79" s="5"/>
      <c r="M79" s="5"/>
      <c r="N79" s="11"/>
      <c r="O79" s="5"/>
      <c r="P79" s="6"/>
      <c r="R79" s="80" t="s">
        <v>70</v>
      </c>
    </row>
    <row r="80" spans="2:19" ht="14.25" customHeight="1" x14ac:dyDescent="0.3">
      <c r="B80" s="66">
        <v>3</v>
      </c>
      <c r="C80" s="77" t="s">
        <v>71</v>
      </c>
      <c r="D80" s="5"/>
      <c r="E80" s="65"/>
      <c r="F80" s="5"/>
      <c r="G80" s="5"/>
      <c r="H80" s="5"/>
      <c r="I80" s="5"/>
      <c r="J80" s="5"/>
      <c r="K80" s="5"/>
      <c r="L80" s="5"/>
      <c r="M80" s="5"/>
      <c r="N80" s="11"/>
      <c r="O80" s="5"/>
      <c r="P80" s="6"/>
      <c r="R80" s="80" t="s">
        <v>72</v>
      </c>
    </row>
    <row r="81" spans="2:16" ht="14.25" customHeight="1" x14ac:dyDescent="0.3">
      <c r="B81" s="66">
        <v>4</v>
      </c>
      <c r="C81" s="77" t="s">
        <v>73</v>
      </c>
      <c r="D81" s="5"/>
      <c r="E81" s="65"/>
      <c r="F81" s="63" t="s">
        <v>74</v>
      </c>
      <c r="G81" s="64"/>
      <c r="H81" s="64"/>
      <c r="I81" s="64"/>
      <c r="J81" s="64"/>
      <c r="K81" s="64"/>
      <c r="L81" s="64"/>
      <c r="M81" s="5"/>
      <c r="N81" s="11"/>
      <c r="O81" s="5"/>
      <c r="P81" s="6"/>
    </row>
    <row r="82" spans="2:16" ht="14.25" customHeight="1" x14ac:dyDescent="0.3">
      <c r="B82" s="66">
        <v>5</v>
      </c>
      <c r="C82" s="77" t="s">
        <v>75</v>
      </c>
      <c r="D82" s="5"/>
      <c r="E82" s="65"/>
      <c r="F82" s="5"/>
      <c r="G82" s="5"/>
      <c r="H82" s="5"/>
      <c r="I82" s="5"/>
      <c r="J82" s="5"/>
      <c r="K82" s="5"/>
      <c r="L82" s="5"/>
      <c r="M82" s="5"/>
      <c r="N82" s="11"/>
      <c r="O82" s="5"/>
      <c r="P82" s="6"/>
    </row>
    <row r="83" spans="2:16" ht="14.25" customHeight="1" x14ac:dyDescent="0.3">
      <c r="B83" s="66" t="s">
        <v>76</v>
      </c>
      <c r="C83" s="77" t="s">
        <v>77</v>
      </c>
      <c r="D83" s="5"/>
      <c r="E83" s="65"/>
      <c r="F83" s="5"/>
      <c r="G83" s="5"/>
      <c r="H83" s="5"/>
      <c r="I83" s="5"/>
      <c r="J83" s="5"/>
      <c r="K83" s="5"/>
      <c r="L83" s="5"/>
      <c r="M83" s="5"/>
      <c r="N83" s="11"/>
      <c r="O83" s="5"/>
      <c r="P83" s="6"/>
    </row>
    <row r="84" spans="2:16" ht="14.25" customHeight="1" x14ac:dyDescent="0.3">
      <c r="B84" s="11"/>
      <c r="C84" s="5"/>
      <c r="D84" s="5"/>
      <c r="E84" s="65"/>
      <c r="F84" s="5"/>
      <c r="G84" s="5"/>
      <c r="H84" s="5"/>
      <c r="I84" s="5"/>
      <c r="J84" s="5"/>
      <c r="K84" s="5"/>
      <c r="L84" s="5"/>
      <c r="M84" s="5"/>
      <c r="N84" s="11"/>
      <c r="O84" s="81" t="s">
        <v>78</v>
      </c>
      <c r="P84" s="6"/>
    </row>
    <row r="85" spans="2:16" ht="14.25" customHeight="1" x14ac:dyDescent="0.3">
      <c r="B85" s="11"/>
      <c r="C85" s="5"/>
      <c r="D85" s="5"/>
      <c r="E85" s="65"/>
      <c r="F85" s="5"/>
      <c r="G85" s="5"/>
      <c r="H85" s="5"/>
      <c r="I85" s="5"/>
      <c r="J85" s="5"/>
      <c r="K85" s="5"/>
      <c r="L85" s="5"/>
      <c r="M85" s="5"/>
      <c r="N85" s="11"/>
      <c r="O85" s="5"/>
      <c r="P85" s="6"/>
    </row>
    <row r="86" spans="2:16" ht="14.25" customHeight="1" x14ac:dyDescent="0.3">
      <c r="B86" s="63"/>
      <c r="C86" s="64"/>
      <c r="D86" s="64"/>
      <c r="E86" s="82"/>
      <c r="F86" s="8"/>
      <c r="G86" s="8"/>
      <c r="H86" s="8"/>
      <c r="I86" s="8"/>
      <c r="J86" s="8"/>
      <c r="K86" s="8"/>
      <c r="L86" s="8"/>
      <c r="M86" s="8"/>
      <c r="N86" s="57"/>
      <c r="O86" s="8"/>
      <c r="P86" s="9"/>
    </row>
    <row r="87" spans="2:16" ht="14.25" customHeight="1" x14ac:dyDescent="0.3"/>
    <row r="88" spans="2:16" ht="14.25" customHeight="1" x14ac:dyDescent="0.3"/>
    <row r="89" spans="2:16" ht="14.25" customHeight="1" x14ac:dyDescent="0.3"/>
    <row r="90" spans="2:16" ht="14.25" customHeight="1" x14ac:dyDescent="0.3"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</row>
    <row r="91" spans="2:16" ht="14.25" customHeight="1" x14ac:dyDescent="0.35">
      <c r="B91" s="300" t="s">
        <v>0</v>
      </c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293"/>
      <c r="P91" s="301"/>
    </row>
    <row r="92" spans="2:16" ht="14.25" customHeight="1" x14ac:dyDescent="0.3">
      <c r="B92" s="305" t="s">
        <v>5</v>
      </c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301"/>
    </row>
    <row r="93" spans="2:16" ht="24.6" customHeight="1" x14ac:dyDescent="0.45">
      <c r="B93" s="306" t="s">
        <v>79</v>
      </c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301"/>
    </row>
    <row r="94" spans="2:16" ht="14.25" customHeight="1" x14ac:dyDescent="0.3">
      <c r="B94" s="367" t="s">
        <v>80</v>
      </c>
      <c r="C94" s="294"/>
      <c r="D94" s="5"/>
      <c r="E94" s="83" t="s">
        <v>81</v>
      </c>
      <c r="F94" s="5"/>
      <c r="G94" s="5"/>
      <c r="H94" s="5"/>
      <c r="I94" s="5"/>
      <c r="J94" s="5"/>
      <c r="K94" s="5"/>
      <c r="L94" s="5"/>
      <c r="M94" s="5"/>
      <c r="N94" s="11"/>
      <c r="O94" s="5"/>
      <c r="P94" s="6"/>
    </row>
    <row r="95" spans="2:16" ht="14.25" customHeight="1" x14ac:dyDescent="0.3">
      <c r="B95" s="368" t="s">
        <v>82</v>
      </c>
      <c r="C95" s="369"/>
      <c r="D95" s="369"/>
      <c r="E95" s="370"/>
      <c r="F95" s="84" t="s">
        <v>45</v>
      </c>
      <c r="G95" s="84"/>
      <c r="H95" s="84"/>
      <c r="I95" s="84"/>
      <c r="J95" s="84"/>
      <c r="K95" s="84"/>
      <c r="L95" s="84"/>
      <c r="M95" s="85" t="s">
        <v>83</v>
      </c>
      <c r="N95" s="5"/>
      <c r="O95" s="5"/>
      <c r="P95" s="6"/>
    </row>
    <row r="96" spans="2:16" ht="14.25" customHeight="1" x14ac:dyDescent="0.3">
      <c r="B96" s="335" t="s">
        <v>84</v>
      </c>
      <c r="C96" s="309"/>
      <c r="D96" s="86" t="s">
        <v>46</v>
      </c>
      <c r="E96" s="87" t="s">
        <v>85</v>
      </c>
      <c r="F96" s="339" t="s">
        <v>86</v>
      </c>
      <c r="G96" s="340"/>
      <c r="H96" s="5"/>
      <c r="I96" s="5"/>
      <c r="J96" s="5"/>
      <c r="K96" s="5"/>
      <c r="L96" s="5"/>
      <c r="M96" s="5"/>
      <c r="N96" s="321" t="s">
        <v>47</v>
      </c>
      <c r="O96" s="293"/>
      <c r="P96" s="301"/>
    </row>
    <row r="97" spans="2:19" ht="14.25" customHeight="1" x14ac:dyDescent="0.3">
      <c r="B97" s="336" t="s">
        <v>49</v>
      </c>
      <c r="C97" s="309"/>
      <c r="D97" s="88" t="s">
        <v>66</v>
      </c>
      <c r="E97" s="89">
        <v>15</v>
      </c>
      <c r="F97" s="5"/>
      <c r="G97" s="5"/>
      <c r="H97" s="5"/>
      <c r="I97" s="5"/>
      <c r="J97" s="5"/>
      <c r="K97" s="5"/>
      <c r="L97" s="5"/>
      <c r="M97" s="5"/>
      <c r="N97" s="321" t="s">
        <v>6</v>
      </c>
      <c r="O97" s="293"/>
      <c r="P97" s="301"/>
    </row>
    <row r="98" spans="2:19" ht="14.25" customHeight="1" x14ac:dyDescent="0.3">
      <c r="B98" s="337"/>
      <c r="C98" s="309"/>
      <c r="D98" s="90">
        <v>5</v>
      </c>
      <c r="E98" s="91">
        <v>6</v>
      </c>
      <c r="F98" s="70"/>
      <c r="G98" s="70"/>
      <c r="H98" s="5"/>
      <c r="I98" s="5"/>
      <c r="J98" s="5"/>
      <c r="K98" s="5"/>
      <c r="L98" s="5"/>
      <c r="M98" s="5"/>
      <c r="N98" s="11"/>
      <c r="O98" s="5"/>
      <c r="P98" s="6"/>
    </row>
    <row r="99" spans="2:19" ht="14.25" customHeight="1" x14ac:dyDescent="0.3">
      <c r="B99" s="338" t="s">
        <v>87</v>
      </c>
      <c r="C99" s="315"/>
      <c r="D99" s="309"/>
      <c r="E99" s="92">
        <f>SUM(E97:E98)</f>
        <v>21</v>
      </c>
      <c r="F99" s="70"/>
      <c r="G99" s="70"/>
      <c r="H99" s="5"/>
      <c r="I99" s="5"/>
      <c r="J99" s="5"/>
      <c r="K99" s="5"/>
      <c r="L99" s="5"/>
      <c r="M99" s="5"/>
      <c r="N99" s="304" t="s">
        <v>15</v>
      </c>
      <c r="O99" s="293"/>
      <c r="P99" s="301"/>
    </row>
    <row r="100" spans="2:19" ht="14.25" customHeight="1" x14ac:dyDescent="0.3">
      <c r="B100" s="336" t="s">
        <v>56</v>
      </c>
      <c r="C100" s="309"/>
      <c r="D100" s="93">
        <v>9</v>
      </c>
      <c r="E100" s="94">
        <v>3</v>
      </c>
      <c r="F100" s="70"/>
      <c r="G100" s="70"/>
      <c r="H100" s="5"/>
      <c r="I100" s="5"/>
      <c r="J100" s="5"/>
      <c r="K100" s="5"/>
      <c r="L100" s="5"/>
      <c r="M100" s="5"/>
      <c r="N100" s="11"/>
      <c r="O100" s="5"/>
      <c r="P100" s="6"/>
    </row>
    <row r="101" spans="2:19" ht="14.25" customHeight="1" x14ac:dyDescent="0.3">
      <c r="B101" s="336" t="s">
        <v>88</v>
      </c>
      <c r="C101" s="309"/>
      <c r="D101" s="95"/>
      <c r="E101" s="96">
        <v>1</v>
      </c>
      <c r="F101" s="339" t="s">
        <v>89</v>
      </c>
      <c r="G101" s="340"/>
      <c r="H101" s="5"/>
      <c r="I101" s="5"/>
      <c r="J101" s="5"/>
      <c r="K101" s="5"/>
      <c r="L101" s="5"/>
      <c r="M101" s="5"/>
      <c r="N101" s="304" t="s">
        <v>53</v>
      </c>
      <c r="O101" s="293"/>
      <c r="P101" s="301"/>
    </row>
    <row r="102" spans="2:19" ht="14.25" customHeight="1" x14ac:dyDescent="0.3">
      <c r="B102" s="336" t="s">
        <v>90</v>
      </c>
      <c r="C102" s="309"/>
      <c r="D102" s="95">
        <v>1</v>
      </c>
      <c r="E102" s="96">
        <v>3</v>
      </c>
      <c r="F102" s="5"/>
      <c r="G102" s="5"/>
      <c r="H102" s="5"/>
      <c r="I102" s="5"/>
      <c r="J102" s="5"/>
      <c r="K102" s="5"/>
      <c r="L102" s="5"/>
      <c r="M102" s="5"/>
      <c r="N102" s="11"/>
      <c r="O102" s="5"/>
      <c r="P102" s="6"/>
      <c r="S102" s="80">
        <f>6/4</f>
        <v>1.5</v>
      </c>
    </row>
    <row r="103" spans="2:19" ht="14.25" customHeight="1" x14ac:dyDescent="0.3">
      <c r="B103" s="338" t="s">
        <v>91</v>
      </c>
      <c r="C103" s="315"/>
      <c r="D103" s="309"/>
      <c r="E103" s="97">
        <f>SUM(E99:E102)</f>
        <v>28</v>
      </c>
      <c r="F103" s="5"/>
      <c r="G103" s="5"/>
      <c r="H103" s="5"/>
      <c r="I103" s="5"/>
      <c r="J103" s="5"/>
      <c r="K103" s="5"/>
      <c r="L103" s="5"/>
      <c r="M103" s="5"/>
      <c r="N103" s="303" t="s">
        <v>38</v>
      </c>
      <c r="O103" s="293"/>
      <c r="P103" s="301"/>
    </row>
    <row r="104" spans="2:19" ht="14.25" customHeight="1" x14ac:dyDescent="0.3">
      <c r="B104" s="341" t="s">
        <v>92</v>
      </c>
      <c r="C104" s="309"/>
      <c r="D104" s="98" t="s">
        <v>93</v>
      </c>
      <c r="E104" s="99">
        <v>12</v>
      </c>
      <c r="F104" s="5"/>
      <c r="G104" s="5"/>
      <c r="H104" s="5"/>
      <c r="I104" s="5"/>
      <c r="J104" s="5"/>
      <c r="K104" s="5"/>
      <c r="L104" s="5"/>
      <c r="M104" s="5"/>
      <c r="N104" s="11"/>
      <c r="O104" s="5"/>
      <c r="P104" s="6"/>
    </row>
    <row r="105" spans="2:19" ht="14.25" customHeight="1" x14ac:dyDescent="0.3">
      <c r="B105" s="342"/>
      <c r="C105" s="309"/>
      <c r="D105" s="98" t="s">
        <v>94</v>
      </c>
      <c r="E105" s="99">
        <v>7</v>
      </c>
      <c r="F105" s="5"/>
      <c r="G105" s="5"/>
      <c r="H105" s="5"/>
      <c r="I105" s="5"/>
      <c r="J105" s="5"/>
      <c r="K105" s="5"/>
      <c r="L105" s="5"/>
      <c r="M105" s="5"/>
      <c r="N105" s="304" t="s">
        <v>62</v>
      </c>
      <c r="O105" s="293"/>
      <c r="P105" s="301"/>
    </row>
    <row r="106" spans="2:19" ht="14.25" customHeight="1" x14ac:dyDescent="0.3">
      <c r="B106" s="342"/>
      <c r="C106" s="309"/>
      <c r="D106" s="98" t="s">
        <v>95</v>
      </c>
      <c r="E106" s="99">
        <v>4</v>
      </c>
      <c r="F106" s="84" t="s">
        <v>56</v>
      </c>
      <c r="G106" s="84"/>
      <c r="H106" s="84"/>
      <c r="I106" s="84"/>
      <c r="J106" s="84"/>
      <c r="K106" s="84"/>
      <c r="L106" s="84"/>
      <c r="M106" s="85" t="s">
        <v>83</v>
      </c>
      <c r="N106" s="5"/>
      <c r="O106" s="5"/>
      <c r="P106" s="6"/>
    </row>
    <row r="107" spans="2:19" ht="14.25" customHeight="1" x14ac:dyDescent="0.3">
      <c r="B107" s="343" t="s">
        <v>96</v>
      </c>
      <c r="C107" s="309"/>
      <c r="D107" s="100"/>
      <c r="E107" s="101">
        <f>SUM(E104:E106)</f>
        <v>23</v>
      </c>
      <c r="F107" s="339" t="s">
        <v>97</v>
      </c>
      <c r="G107" s="340"/>
      <c r="H107" s="5"/>
      <c r="I107" s="5"/>
      <c r="J107" s="5"/>
      <c r="K107" s="5"/>
      <c r="L107" s="5"/>
      <c r="M107" s="5"/>
      <c r="N107" s="303" t="s">
        <v>39</v>
      </c>
      <c r="O107" s="293"/>
      <c r="P107" s="301"/>
    </row>
    <row r="108" spans="2:19" ht="14.25" customHeight="1" x14ac:dyDescent="0.3">
      <c r="B108" s="342" t="s">
        <v>98</v>
      </c>
      <c r="C108" s="309"/>
      <c r="D108" s="98" t="s">
        <v>99</v>
      </c>
      <c r="E108" s="99">
        <v>6</v>
      </c>
      <c r="F108" s="5"/>
      <c r="G108" s="5"/>
      <c r="H108" s="5"/>
      <c r="I108" s="5"/>
      <c r="J108" s="5"/>
      <c r="K108" s="5"/>
      <c r="L108" s="5"/>
      <c r="M108" s="5"/>
      <c r="N108" s="11"/>
      <c r="O108" s="5"/>
      <c r="P108" s="6"/>
    </row>
    <row r="109" spans="2:19" ht="14.25" customHeight="1" x14ac:dyDescent="0.3">
      <c r="B109" s="342" t="s">
        <v>88</v>
      </c>
      <c r="C109" s="309"/>
      <c r="D109" s="98"/>
      <c r="E109" s="99">
        <v>2</v>
      </c>
      <c r="F109" s="5"/>
      <c r="G109" s="5"/>
      <c r="H109" s="5"/>
      <c r="I109" s="5"/>
      <c r="J109" s="5"/>
      <c r="K109" s="5"/>
      <c r="L109" s="5"/>
      <c r="M109" s="5"/>
      <c r="N109" s="11"/>
      <c r="O109" s="102" t="s">
        <v>100</v>
      </c>
      <c r="P109" s="6"/>
    </row>
    <row r="110" spans="2:19" ht="14.25" customHeight="1" x14ac:dyDescent="0.3">
      <c r="B110" s="343" t="s">
        <v>101</v>
      </c>
      <c r="C110" s="309"/>
      <c r="D110" s="100"/>
      <c r="E110" s="101">
        <f>SUM(E107:E109)</f>
        <v>31</v>
      </c>
      <c r="F110" s="5"/>
      <c r="G110" s="5"/>
      <c r="H110" s="5"/>
      <c r="I110" s="5"/>
      <c r="J110" s="5"/>
      <c r="K110" s="5"/>
      <c r="L110" s="5"/>
      <c r="M110" s="5"/>
      <c r="N110" s="11"/>
      <c r="O110" s="5"/>
      <c r="P110" s="6"/>
    </row>
    <row r="111" spans="2:19" ht="14.25" customHeight="1" x14ac:dyDescent="0.3">
      <c r="B111" s="371" t="s">
        <v>102</v>
      </c>
      <c r="C111" s="309"/>
      <c r="D111" s="103"/>
      <c r="E111" s="104">
        <v>1</v>
      </c>
      <c r="F111" s="5"/>
      <c r="G111" s="5"/>
      <c r="H111" s="5"/>
      <c r="I111" s="5"/>
      <c r="J111" s="5"/>
      <c r="K111" s="5"/>
      <c r="L111" s="5"/>
      <c r="M111" s="5"/>
      <c r="N111" s="11"/>
      <c r="O111" s="105" t="s">
        <v>103</v>
      </c>
      <c r="P111" s="6"/>
    </row>
    <row r="112" spans="2:19" ht="14.25" customHeight="1" x14ac:dyDescent="0.3">
      <c r="B112" s="371" t="s">
        <v>104</v>
      </c>
      <c r="C112" s="309"/>
      <c r="D112" s="103"/>
      <c r="E112" s="104">
        <v>1</v>
      </c>
      <c r="F112" s="84" t="s">
        <v>50</v>
      </c>
      <c r="G112" s="84"/>
      <c r="H112" s="84"/>
      <c r="I112" s="84"/>
      <c r="J112" s="84"/>
      <c r="K112" s="84"/>
      <c r="L112" s="84"/>
      <c r="M112" s="85" t="s">
        <v>83</v>
      </c>
      <c r="N112" s="5"/>
      <c r="O112" s="5"/>
      <c r="P112" s="6"/>
    </row>
    <row r="113" spans="2:16" ht="14.25" customHeight="1" x14ac:dyDescent="0.3">
      <c r="B113" s="371" t="s">
        <v>105</v>
      </c>
      <c r="C113" s="309"/>
      <c r="D113" s="103"/>
      <c r="E113" s="104">
        <v>4</v>
      </c>
      <c r="F113" s="5"/>
      <c r="G113" s="5"/>
      <c r="H113" s="5"/>
      <c r="I113" s="5"/>
      <c r="J113" s="5"/>
      <c r="K113" s="5"/>
      <c r="L113" s="5"/>
      <c r="M113" s="5"/>
      <c r="N113" s="11"/>
      <c r="O113" s="81" t="s">
        <v>78</v>
      </c>
      <c r="P113" s="6"/>
    </row>
    <row r="114" spans="2:16" ht="14.25" customHeight="1" x14ac:dyDescent="0.3">
      <c r="B114" s="372" t="s">
        <v>106</v>
      </c>
      <c r="C114" s="315"/>
      <c r="D114" s="309"/>
      <c r="E114" s="106">
        <f>SUM(E111:E113)</f>
        <v>6</v>
      </c>
      <c r="F114" s="5"/>
      <c r="G114" s="5"/>
      <c r="H114" s="5"/>
      <c r="I114" s="5"/>
      <c r="J114" s="5"/>
      <c r="K114" s="5"/>
      <c r="L114" s="5"/>
      <c r="M114" s="5"/>
      <c r="N114" s="11"/>
      <c r="O114" s="5"/>
      <c r="P114" s="6"/>
    </row>
    <row r="115" spans="2:16" ht="14.25" customHeight="1" x14ac:dyDescent="0.3">
      <c r="B115" s="375" t="s">
        <v>107</v>
      </c>
      <c r="C115" s="319"/>
      <c r="D115" s="376"/>
      <c r="E115" s="107">
        <f>E114+E110+E107+E103</f>
        <v>88</v>
      </c>
      <c r="F115" s="8"/>
      <c r="G115" s="8"/>
      <c r="H115" s="8"/>
      <c r="I115" s="8"/>
      <c r="J115" s="8"/>
      <c r="K115" s="8"/>
      <c r="L115" s="8"/>
      <c r="M115" s="8"/>
      <c r="N115" s="57"/>
      <c r="O115" s="8"/>
      <c r="P115" s="9"/>
    </row>
    <row r="116" spans="2:16" ht="14.25" customHeight="1" x14ac:dyDescent="0.3">
      <c r="B116" s="77"/>
      <c r="C116" s="77"/>
      <c r="D116" s="77"/>
      <c r="E116" s="77"/>
    </row>
    <row r="117" spans="2:16" ht="14.25" customHeight="1" x14ac:dyDescent="0.3">
      <c r="B117" s="77" t="s">
        <v>108</v>
      </c>
      <c r="C117" s="77"/>
      <c r="D117" s="77"/>
      <c r="E117" s="77"/>
    </row>
    <row r="118" spans="2:16" ht="14.25" customHeight="1" x14ac:dyDescent="0.3">
      <c r="B118" s="77"/>
      <c r="C118" s="77"/>
      <c r="D118" s="77"/>
      <c r="E118" s="77"/>
    </row>
    <row r="119" spans="2:16" ht="14.25" customHeight="1" x14ac:dyDescent="0.3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</row>
    <row r="120" spans="2:16" ht="14.25" customHeight="1" x14ac:dyDescent="0.35">
      <c r="B120" s="300" t="s">
        <v>0</v>
      </c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293"/>
      <c r="P120" s="301"/>
    </row>
    <row r="121" spans="2:16" ht="14.25" customHeight="1" x14ac:dyDescent="0.3">
      <c r="B121" s="305" t="s">
        <v>5</v>
      </c>
      <c r="C121" s="293"/>
      <c r="D121" s="293"/>
      <c r="E121" s="293"/>
      <c r="F121" s="293"/>
      <c r="G121" s="293"/>
      <c r="H121" s="293"/>
      <c r="I121" s="293"/>
      <c r="J121" s="293"/>
      <c r="K121" s="293"/>
      <c r="L121" s="293"/>
      <c r="M121" s="293"/>
      <c r="N121" s="293"/>
      <c r="O121" s="293"/>
      <c r="P121" s="301"/>
    </row>
    <row r="122" spans="2:16" ht="22.8" customHeight="1" x14ac:dyDescent="0.45">
      <c r="B122" s="306" t="s">
        <v>16</v>
      </c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3"/>
      <c r="P122" s="301"/>
    </row>
    <row r="123" spans="2:16" ht="14.25" customHeight="1" x14ac:dyDescent="0.3">
      <c r="B123" s="367" t="s">
        <v>40</v>
      </c>
      <c r="C123" s="29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11"/>
      <c r="O123" s="5"/>
      <c r="P123" s="6"/>
    </row>
    <row r="124" spans="2:16" ht="14.25" customHeight="1" x14ac:dyDescent="0.3">
      <c r="B124" s="381" t="s">
        <v>82</v>
      </c>
      <c r="C124" s="369"/>
      <c r="D124" s="369"/>
      <c r="E124" s="370"/>
      <c r="F124" s="84" t="s">
        <v>45</v>
      </c>
      <c r="G124" s="39" t="s">
        <v>109</v>
      </c>
      <c r="H124" s="39"/>
      <c r="I124" s="84"/>
      <c r="J124" s="39" t="s">
        <v>110</v>
      </c>
      <c r="K124" s="39"/>
      <c r="L124" s="84"/>
      <c r="M124" s="108"/>
      <c r="N124" s="5"/>
      <c r="O124" s="5"/>
      <c r="P124" s="6"/>
    </row>
    <row r="125" spans="2:16" ht="14.25" customHeight="1" x14ac:dyDescent="0.3">
      <c r="B125" s="382" t="s">
        <v>84</v>
      </c>
      <c r="C125" s="309"/>
      <c r="D125" s="109" t="s">
        <v>46</v>
      </c>
      <c r="E125" s="110" t="s">
        <v>85</v>
      </c>
      <c r="F125" s="339"/>
      <c r="G125" s="340"/>
      <c r="H125" s="5"/>
      <c r="I125" s="5"/>
      <c r="J125" s="5"/>
      <c r="K125" s="5"/>
      <c r="L125" s="5"/>
      <c r="M125" s="5"/>
      <c r="N125" s="321" t="s">
        <v>47</v>
      </c>
      <c r="O125" s="293"/>
      <c r="P125" s="301"/>
    </row>
    <row r="126" spans="2:16" ht="14.25" customHeight="1" x14ac:dyDescent="0.3">
      <c r="B126" s="336" t="s">
        <v>49</v>
      </c>
      <c r="C126" s="309"/>
      <c r="D126" s="88" t="s">
        <v>66</v>
      </c>
      <c r="E126" s="89">
        <v>15</v>
      </c>
      <c r="F126" s="111"/>
      <c r="G126" s="5"/>
      <c r="H126" s="5"/>
      <c r="I126" s="5"/>
      <c r="J126" s="5"/>
      <c r="K126" s="5"/>
      <c r="L126" s="5"/>
      <c r="M126" s="5"/>
      <c r="N126" s="321" t="s">
        <v>6</v>
      </c>
      <c r="O126" s="293"/>
      <c r="P126" s="301"/>
    </row>
    <row r="127" spans="2:16" ht="14.25" customHeight="1" x14ac:dyDescent="0.3">
      <c r="B127" s="337"/>
      <c r="C127" s="309"/>
      <c r="D127" s="90">
        <v>5</v>
      </c>
      <c r="E127" s="91">
        <v>6</v>
      </c>
      <c r="F127" s="70"/>
      <c r="G127" s="70"/>
      <c r="H127" s="5"/>
      <c r="I127" s="5"/>
      <c r="J127" s="5"/>
      <c r="K127" s="5"/>
      <c r="L127" s="5"/>
      <c r="M127" s="5"/>
      <c r="N127" s="11"/>
      <c r="O127" s="5"/>
      <c r="P127" s="6"/>
    </row>
    <row r="128" spans="2:16" ht="14.25" customHeight="1" x14ac:dyDescent="0.3">
      <c r="B128" s="338" t="s">
        <v>87</v>
      </c>
      <c r="C128" s="315"/>
      <c r="D128" s="309"/>
      <c r="E128" s="92">
        <f>SUM(E126:E127)</f>
        <v>21</v>
      </c>
      <c r="F128" s="70"/>
      <c r="G128" s="70"/>
      <c r="H128" s="5"/>
      <c r="I128" s="5"/>
      <c r="J128" s="5"/>
      <c r="K128" s="5"/>
      <c r="L128" s="5"/>
      <c r="M128" s="5"/>
      <c r="N128" s="304" t="s">
        <v>15</v>
      </c>
      <c r="O128" s="293"/>
      <c r="P128" s="301"/>
    </row>
    <row r="129" spans="2:16" ht="14.25" customHeight="1" x14ac:dyDescent="0.3">
      <c r="B129" s="336" t="s">
        <v>56</v>
      </c>
      <c r="C129" s="309"/>
      <c r="D129" s="93">
        <v>9</v>
      </c>
      <c r="E129" s="94">
        <v>3</v>
      </c>
      <c r="F129" s="70"/>
      <c r="G129" s="70"/>
      <c r="H129" s="5"/>
      <c r="I129" s="5"/>
      <c r="J129" s="5"/>
      <c r="K129" s="5"/>
      <c r="L129" s="5"/>
      <c r="M129" s="5"/>
      <c r="N129" s="11"/>
      <c r="O129" s="5"/>
      <c r="P129" s="6"/>
    </row>
    <row r="130" spans="2:16" ht="14.25" customHeight="1" x14ac:dyDescent="0.3">
      <c r="B130" s="336" t="s">
        <v>88</v>
      </c>
      <c r="C130" s="309"/>
      <c r="D130" s="95"/>
      <c r="E130" s="112">
        <v>1</v>
      </c>
      <c r="F130" s="383"/>
      <c r="G130" s="294"/>
      <c r="H130" s="5"/>
      <c r="I130" s="5"/>
      <c r="J130" s="5"/>
      <c r="K130" s="5"/>
      <c r="L130" s="5"/>
      <c r="M130" s="5"/>
      <c r="N130" s="304" t="s">
        <v>53</v>
      </c>
      <c r="O130" s="293"/>
      <c r="P130" s="301"/>
    </row>
    <row r="131" spans="2:16" ht="14.25" customHeight="1" x14ac:dyDescent="0.3">
      <c r="B131" s="336" t="s">
        <v>90</v>
      </c>
      <c r="C131" s="309"/>
      <c r="D131" s="95">
        <v>1</v>
      </c>
      <c r="E131" s="96">
        <v>3</v>
      </c>
      <c r="F131" s="5"/>
      <c r="G131" s="5"/>
      <c r="H131" s="5"/>
      <c r="I131" s="5"/>
      <c r="J131" s="5"/>
      <c r="K131" s="5"/>
      <c r="L131" s="5"/>
      <c r="M131" s="5"/>
      <c r="N131" s="11"/>
      <c r="O131" s="5"/>
      <c r="P131" s="6"/>
    </row>
    <row r="132" spans="2:16" ht="14.25" customHeight="1" x14ac:dyDescent="0.3">
      <c r="B132" s="338" t="s">
        <v>91</v>
      </c>
      <c r="C132" s="315"/>
      <c r="D132" s="309"/>
      <c r="E132" s="97">
        <f>SUM(E128:E131)</f>
        <v>28</v>
      </c>
      <c r="F132" s="5"/>
      <c r="G132" s="5"/>
      <c r="H132" s="5"/>
      <c r="I132" s="5"/>
      <c r="J132" s="5"/>
      <c r="K132" s="5"/>
      <c r="L132" s="5"/>
      <c r="M132" s="5"/>
      <c r="N132" s="303" t="s">
        <v>38</v>
      </c>
      <c r="O132" s="293"/>
      <c r="P132" s="301"/>
    </row>
    <row r="133" spans="2:16" ht="14.25" customHeight="1" x14ac:dyDescent="0.3">
      <c r="B133" s="341" t="s">
        <v>92</v>
      </c>
      <c r="C133" s="309"/>
      <c r="D133" s="98" t="s">
        <v>93</v>
      </c>
      <c r="E133" s="99">
        <v>12</v>
      </c>
      <c r="F133" s="5"/>
      <c r="G133" s="5"/>
      <c r="H133" s="5"/>
      <c r="I133" s="5"/>
      <c r="J133" s="5"/>
      <c r="K133" s="5"/>
      <c r="L133" s="5"/>
      <c r="M133" s="5"/>
      <c r="N133" s="11"/>
      <c r="O133" s="5"/>
      <c r="P133" s="6"/>
    </row>
    <row r="134" spans="2:16" ht="14.25" customHeight="1" x14ac:dyDescent="0.3">
      <c r="B134" s="342"/>
      <c r="C134" s="309"/>
      <c r="D134" s="98" t="s">
        <v>94</v>
      </c>
      <c r="E134" s="99">
        <v>7</v>
      </c>
      <c r="F134" s="5"/>
      <c r="G134" s="5"/>
      <c r="H134" s="5"/>
      <c r="I134" s="5"/>
      <c r="J134" s="5"/>
      <c r="K134" s="5"/>
      <c r="L134" s="5"/>
      <c r="M134" s="5"/>
      <c r="N134" s="304" t="s">
        <v>62</v>
      </c>
      <c r="O134" s="293"/>
      <c r="P134" s="301"/>
    </row>
    <row r="135" spans="2:16" ht="14.25" customHeight="1" x14ac:dyDescent="0.3">
      <c r="B135" s="342"/>
      <c r="C135" s="309"/>
      <c r="D135" s="98" t="s">
        <v>95</v>
      </c>
      <c r="E135" s="113">
        <v>4</v>
      </c>
      <c r="F135" s="114" t="s">
        <v>56</v>
      </c>
      <c r="G135" s="84"/>
      <c r="H135" s="84"/>
      <c r="I135" s="84"/>
      <c r="J135" s="84"/>
      <c r="K135" s="84"/>
      <c r="L135" s="84"/>
      <c r="M135" s="108"/>
      <c r="N135" s="5"/>
      <c r="O135" s="5"/>
      <c r="P135" s="6"/>
    </row>
    <row r="136" spans="2:16" ht="14.25" customHeight="1" x14ac:dyDescent="0.3">
      <c r="B136" s="343" t="s">
        <v>96</v>
      </c>
      <c r="C136" s="309"/>
      <c r="D136" s="100"/>
      <c r="E136" s="101">
        <f>SUM(E133:E135)</f>
        <v>23</v>
      </c>
      <c r="F136" s="383" t="s">
        <v>97</v>
      </c>
      <c r="G136" s="294"/>
      <c r="H136" s="5"/>
      <c r="I136" s="5"/>
      <c r="J136" s="5"/>
      <c r="K136" s="5"/>
      <c r="L136" s="5"/>
      <c r="M136" s="5"/>
      <c r="N136" s="303" t="s">
        <v>39</v>
      </c>
      <c r="O136" s="293"/>
      <c r="P136" s="301"/>
    </row>
    <row r="137" spans="2:16" ht="14.25" customHeight="1" x14ac:dyDescent="0.3">
      <c r="B137" s="342" t="s">
        <v>98</v>
      </c>
      <c r="C137" s="309"/>
      <c r="D137" s="98" t="s">
        <v>99</v>
      </c>
      <c r="E137" s="99">
        <v>6</v>
      </c>
      <c r="F137" s="5"/>
      <c r="G137" s="5"/>
      <c r="H137" s="5"/>
      <c r="I137" s="5"/>
      <c r="J137" s="5"/>
      <c r="K137" s="5"/>
      <c r="L137" s="5"/>
      <c r="M137" s="5"/>
      <c r="N137" s="11"/>
      <c r="O137" s="5"/>
      <c r="P137" s="6"/>
    </row>
    <row r="138" spans="2:16" ht="14.25" customHeight="1" x14ac:dyDescent="0.3">
      <c r="B138" s="342" t="s">
        <v>88</v>
      </c>
      <c r="C138" s="309"/>
      <c r="D138" s="98"/>
      <c r="E138" s="99">
        <v>2</v>
      </c>
      <c r="F138" s="5"/>
      <c r="G138" s="5"/>
      <c r="H138" s="5"/>
      <c r="I138" s="5"/>
      <c r="J138" s="5"/>
      <c r="K138" s="5"/>
      <c r="L138" s="5"/>
      <c r="M138" s="5"/>
      <c r="N138" s="11"/>
      <c r="O138" s="102" t="s">
        <v>100</v>
      </c>
      <c r="P138" s="6"/>
    </row>
    <row r="139" spans="2:16" ht="14.25" customHeight="1" x14ac:dyDescent="0.3">
      <c r="B139" s="343" t="s">
        <v>101</v>
      </c>
      <c r="C139" s="309"/>
      <c r="D139" s="100"/>
      <c r="E139" s="101">
        <f>SUM(E136:E138)</f>
        <v>31</v>
      </c>
      <c r="F139" s="5"/>
      <c r="G139" s="5"/>
      <c r="H139" s="5"/>
      <c r="I139" s="5"/>
      <c r="J139" s="5"/>
      <c r="K139" s="5"/>
      <c r="L139" s="5"/>
      <c r="M139" s="5"/>
      <c r="N139" s="11"/>
      <c r="O139" s="5"/>
      <c r="P139" s="6"/>
    </row>
    <row r="140" spans="2:16" ht="14.25" customHeight="1" x14ac:dyDescent="0.3">
      <c r="B140" s="371" t="s">
        <v>102</v>
      </c>
      <c r="C140" s="309"/>
      <c r="D140" s="103"/>
      <c r="E140" s="104">
        <v>1</v>
      </c>
      <c r="F140" s="5"/>
      <c r="G140" s="5"/>
      <c r="H140" s="5"/>
      <c r="I140" s="5"/>
      <c r="J140" s="5"/>
      <c r="K140" s="5"/>
      <c r="L140" s="5"/>
      <c r="M140" s="5"/>
      <c r="N140" s="11"/>
      <c r="O140" s="105" t="s">
        <v>103</v>
      </c>
      <c r="P140" s="6"/>
    </row>
    <row r="141" spans="2:16" ht="14.25" customHeight="1" x14ac:dyDescent="0.3">
      <c r="B141" s="371" t="s">
        <v>104</v>
      </c>
      <c r="C141" s="309"/>
      <c r="D141" s="103"/>
      <c r="E141" s="115">
        <v>1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6"/>
    </row>
    <row r="142" spans="2:16" ht="14.25" customHeight="1" x14ac:dyDescent="0.3">
      <c r="B142" s="371" t="s">
        <v>105</v>
      </c>
      <c r="C142" s="309"/>
      <c r="D142" s="103"/>
      <c r="E142" s="104">
        <v>4</v>
      </c>
      <c r="F142" s="5"/>
      <c r="G142" s="5"/>
      <c r="H142" s="5"/>
      <c r="I142" s="5"/>
      <c r="J142" s="5"/>
      <c r="K142" s="5"/>
      <c r="L142" s="5"/>
      <c r="M142" s="5"/>
      <c r="N142" s="11"/>
      <c r="O142" s="81" t="s">
        <v>78</v>
      </c>
      <c r="P142" s="6"/>
    </row>
    <row r="143" spans="2:16" ht="14.25" customHeight="1" x14ac:dyDescent="0.3">
      <c r="B143" s="372" t="s">
        <v>106</v>
      </c>
      <c r="C143" s="315"/>
      <c r="D143" s="309"/>
      <c r="E143" s="106">
        <f>SUM(E140:E142)</f>
        <v>6</v>
      </c>
      <c r="F143" s="5"/>
      <c r="G143" s="5"/>
      <c r="H143" s="5"/>
      <c r="I143" s="5"/>
      <c r="J143" s="5"/>
      <c r="K143" s="5"/>
      <c r="L143" s="5"/>
      <c r="M143" s="5"/>
      <c r="N143" s="11"/>
      <c r="O143" s="5"/>
      <c r="P143" s="6"/>
    </row>
    <row r="144" spans="2:16" ht="14.25" customHeight="1" x14ac:dyDescent="0.3">
      <c r="B144" s="375" t="s">
        <v>107</v>
      </c>
      <c r="C144" s="319"/>
      <c r="D144" s="376"/>
      <c r="E144" s="107">
        <f>E143+E139+E136+E132</f>
        <v>88</v>
      </c>
      <c r="F144" s="8"/>
      <c r="G144" s="8"/>
      <c r="H144" s="8"/>
      <c r="I144" s="8"/>
      <c r="J144" s="8"/>
      <c r="K144" s="8"/>
      <c r="L144" s="8"/>
      <c r="M144" s="8"/>
      <c r="N144" s="57"/>
      <c r="O144" s="8"/>
      <c r="P144" s="9"/>
    </row>
    <row r="145" spans="2:66" ht="14.25" customHeight="1" x14ac:dyDescent="0.3"/>
    <row r="146" spans="2:66" ht="14.25" customHeight="1" x14ac:dyDescent="0.3"/>
    <row r="147" spans="2:66" ht="14.25" customHeight="1" x14ac:dyDescent="0.3"/>
    <row r="148" spans="2:66" ht="14.25" customHeight="1" x14ac:dyDescent="0.3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</row>
    <row r="149" spans="2:66" ht="14.25" customHeight="1" x14ac:dyDescent="0.35">
      <c r="B149" s="300" t="s">
        <v>0</v>
      </c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3"/>
      <c r="P149" s="301"/>
      <c r="AG149" s="80">
        <v>1</v>
      </c>
      <c r="AH149" s="80">
        <v>2</v>
      </c>
      <c r="AI149" s="80">
        <v>3</v>
      </c>
      <c r="AJ149" s="80">
        <v>4</v>
      </c>
      <c r="AK149" s="80">
        <v>5</v>
      </c>
      <c r="AL149" s="80">
        <v>6</v>
      </c>
      <c r="AM149" s="80">
        <v>7</v>
      </c>
      <c r="AN149" s="80">
        <v>8</v>
      </c>
      <c r="AO149" s="80">
        <v>9</v>
      </c>
      <c r="AP149" s="80">
        <v>10</v>
      </c>
      <c r="AQ149" s="80">
        <v>11</v>
      </c>
      <c r="AR149" s="80">
        <v>12</v>
      </c>
      <c r="AS149" s="80">
        <v>13</v>
      </c>
      <c r="AT149" s="80">
        <v>14</v>
      </c>
      <c r="AU149" s="80">
        <v>15</v>
      </c>
      <c r="AV149" s="80">
        <v>16</v>
      </c>
      <c r="AW149" s="80">
        <v>17</v>
      </c>
      <c r="AX149" s="80">
        <v>18</v>
      </c>
      <c r="AY149" s="80">
        <v>19</v>
      </c>
      <c r="AZ149" s="80">
        <v>20</v>
      </c>
      <c r="BA149" s="80">
        <v>21</v>
      </c>
      <c r="BB149" s="80">
        <v>22</v>
      </c>
      <c r="BC149" s="80">
        <v>23</v>
      </c>
      <c r="BD149" s="80">
        <v>24</v>
      </c>
      <c r="BE149" s="80">
        <v>25</v>
      </c>
      <c r="BF149" s="80">
        <v>26</v>
      </c>
      <c r="BG149" s="80">
        <v>27</v>
      </c>
      <c r="BH149" s="80">
        <v>28</v>
      </c>
      <c r="BI149" s="80">
        <v>29</v>
      </c>
      <c r="BJ149" s="80">
        <v>30</v>
      </c>
      <c r="BK149" s="80">
        <v>31</v>
      </c>
      <c r="BL149" s="116" t="s">
        <v>111</v>
      </c>
      <c r="BM149" s="116" t="s">
        <v>22</v>
      </c>
      <c r="BN149" s="116" t="s">
        <v>112</v>
      </c>
    </row>
    <row r="150" spans="2:66" ht="14.25" customHeight="1" x14ac:dyDescent="0.3">
      <c r="B150" s="305" t="s">
        <v>5</v>
      </c>
      <c r="C150" s="293"/>
      <c r="D150" s="293"/>
      <c r="E150" s="293"/>
      <c r="F150" s="293"/>
      <c r="G150" s="293"/>
      <c r="H150" s="293"/>
      <c r="I150" s="293"/>
      <c r="J150" s="293"/>
      <c r="K150" s="293"/>
      <c r="L150" s="293"/>
      <c r="M150" s="293"/>
      <c r="N150" s="293"/>
      <c r="O150" s="293"/>
      <c r="P150" s="301"/>
    </row>
    <row r="151" spans="2:66" ht="23.4" customHeight="1" x14ac:dyDescent="0.45">
      <c r="B151" s="306" t="s">
        <v>113</v>
      </c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293"/>
      <c r="O151" s="293"/>
      <c r="P151" s="301"/>
    </row>
    <row r="152" spans="2:66" ht="14.25" customHeight="1" x14ac:dyDescent="0.3">
      <c r="B152" s="366"/>
      <c r="C152" s="361"/>
      <c r="D152" s="5"/>
      <c r="E152" s="5"/>
      <c r="G152" s="5"/>
      <c r="H152" s="58">
        <v>45479</v>
      </c>
      <c r="I152" s="5"/>
      <c r="J152" s="5"/>
      <c r="K152" s="5"/>
      <c r="L152" s="5" t="s">
        <v>41</v>
      </c>
      <c r="M152" s="5"/>
      <c r="N152" s="11"/>
      <c r="O152" s="5"/>
      <c r="P152" s="6"/>
    </row>
    <row r="153" spans="2:66" ht="14.25" customHeight="1" x14ac:dyDescent="0.3">
      <c r="B153" s="59" t="s">
        <v>42</v>
      </c>
      <c r="C153" s="60" t="s">
        <v>43</v>
      </c>
      <c r="D153" s="61" t="s">
        <v>12</v>
      </c>
      <c r="E153" s="117" t="s">
        <v>44</v>
      </c>
      <c r="F153" s="118"/>
      <c r="G153" s="119"/>
      <c r="H153" s="119"/>
      <c r="I153" s="119"/>
      <c r="J153" s="119"/>
      <c r="K153" s="119"/>
      <c r="L153" s="119"/>
      <c r="M153" s="120"/>
      <c r="N153" s="5"/>
      <c r="O153" s="5"/>
      <c r="P153" s="6"/>
    </row>
    <row r="154" spans="2:66" ht="14.25" customHeight="1" x14ac:dyDescent="0.3">
      <c r="B154" s="373">
        <v>45474</v>
      </c>
      <c r="C154" s="294"/>
      <c r="D154" s="377" t="s">
        <v>114</v>
      </c>
      <c r="E154" s="334"/>
      <c r="F154" s="11"/>
      <c r="G154" s="5"/>
      <c r="H154" s="5"/>
      <c r="I154" s="5"/>
      <c r="J154" s="5"/>
      <c r="K154" s="5"/>
      <c r="L154" s="5"/>
      <c r="M154" s="65"/>
      <c r="N154" s="302" t="s">
        <v>47</v>
      </c>
      <c r="O154" s="293"/>
      <c r="P154" s="301"/>
    </row>
    <row r="155" spans="2:66" ht="14.25" customHeight="1" x14ac:dyDescent="0.3">
      <c r="B155" s="321" t="s">
        <v>48</v>
      </c>
      <c r="C155" s="293"/>
      <c r="D155" s="334"/>
      <c r="E155" s="121" t="s">
        <v>8</v>
      </c>
      <c r="F155" s="11"/>
      <c r="G155" s="5"/>
      <c r="H155" s="5"/>
      <c r="I155" s="5"/>
      <c r="J155" s="5"/>
      <c r="K155" s="5"/>
      <c r="L155" s="5"/>
      <c r="M155" s="65"/>
      <c r="N155" s="302" t="s">
        <v>6</v>
      </c>
      <c r="O155" s="293"/>
      <c r="P155" s="301"/>
    </row>
    <row r="156" spans="2:66" ht="14.25" customHeight="1" x14ac:dyDescent="0.3">
      <c r="B156" s="374" t="s">
        <v>45</v>
      </c>
      <c r="C156" s="315"/>
      <c r="D156" s="309"/>
      <c r="E156" s="122"/>
      <c r="F156" s="123"/>
      <c r="G156" s="70"/>
      <c r="H156" s="5"/>
      <c r="I156" s="5"/>
      <c r="J156" s="5"/>
      <c r="K156" s="5"/>
      <c r="L156" s="5"/>
      <c r="M156" s="65"/>
      <c r="N156" s="5"/>
      <c r="O156" s="5"/>
      <c r="P156" s="6"/>
    </row>
    <row r="157" spans="2:66" ht="14.25" customHeight="1" x14ac:dyDescent="0.3">
      <c r="B157" s="374" t="s">
        <v>115</v>
      </c>
      <c r="C157" s="315"/>
      <c r="D157" s="309"/>
      <c r="E157" s="122"/>
      <c r="F157" s="123"/>
      <c r="G157" s="70"/>
      <c r="H157" s="5"/>
      <c r="I157" s="5"/>
      <c r="J157" s="5"/>
      <c r="K157" s="5"/>
      <c r="L157" s="5"/>
      <c r="M157" s="65"/>
      <c r="N157" s="303" t="s">
        <v>15</v>
      </c>
      <c r="O157" s="293"/>
      <c r="P157" s="301"/>
    </row>
    <row r="158" spans="2:66" ht="14.25" customHeight="1" x14ac:dyDescent="0.3">
      <c r="B158" s="374" t="s">
        <v>50</v>
      </c>
      <c r="C158" s="315"/>
      <c r="D158" s="309"/>
      <c r="E158" s="122"/>
      <c r="F158" s="123"/>
      <c r="G158" s="70"/>
      <c r="H158" s="5"/>
      <c r="I158" s="5"/>
      <c r="J158" s="5"/>
      <c r="K158" s="5"/>
      <c r="L158" s="5"/>
      <c r="M158" s="65"/>
      <c r="N158" s="5"/>
      <c r="O158" s="5"/>
      <c r="P158" s="6"/>
    </row>
    <row r="159" spans="2:66" ht="14.25" customHeight="1" x14ac:dyDescent="0.3">
      <c r="B159" s="374" t="s">
        <v>56</v>
      </c>
      <c r="C159" s="315"/>
      <c r="D159" s="309"/>
      <c r="E159" s="86"/>
      <c r="F159" s="11"/>
      <c r="G159" s="5"/>
      <c r="H159" s="5"/>
      <c r="I159" s="5"/>
      <c r="J159" s="5"/>
      <c r="K159" s="5"/>
      <c r="L159" s="5"/>
      <c r="M159" s="65"/>
      <c r="N159" s="304" t="s">
        <v>53</v>
      </c>
      <c r="O159" s="293"/>
      <c r="P159" s="301"/>
    </row>
    <row r="160" spans="2:66" ht="14.25" customHeight="1" x14ac:dyDescent="0.3">
      <c r="B160" s="374" t="s">
        <v>116</v>
      </c>
      <c r="C160" s="315"/>
      <c r="D160" s="309"/>
      <c r="E160" s="86"/>
      <c r="F160" s="11"/>
      <c r="G160" s="5"/>
      <c r="H160" s="5"/>
      <c r="I160" s="5"/>
      <c r="J160" s="5"/>
      <c r="K160" s="5"/>
      <c r="L160" s="5"/>
      <c r="M160" s="65"/>
      <c r="N160" s="5"/>
      <c r="O160" s="5"/>
      <c r="P160" s="6"/>
    </row>
    <row r="161" spans="2:16" ht="14.25" customHeight="1" x14ac:dyDescent="0.3">
      <c r="B161" s="374" t="s">
        <v>117</v>
      </c>
      <c r="C161" s="315"/>
      <c r="D161" s="309"/>
      <c r="E161" s="86"/>
      <c r="F161" s="11"/>
      <c r="G161" s="5"/>
      <c r="H161" s="5"/>
      <c r="I161" s="5"/>
      <c r="J161" s="5"/>
      <c r="K161" s="5"/>
      <c r="L161" s="5"/>
      <c r="M161" s="65"/>
      <c r="N161" s="304" t="s">
        <v>38</v>
      </c>
      <c r="O161" s="293"/>
      <c r="P161" s="301"/>
    </row>
    <row r="162" spans="2:16" ht="14.25" customHeight="1" x14ac:dyDescent="0.3">
      <c r="B162" s="374" t="s">
        <v>77</v>
      </c>
      <c r="C162" s="315"/>
      <c r="D162" s="309"/>
      <c r="E162" s="86"/>
      <c r="F162" s="11"/>
      <c r="G162" s="5"/>
      <c r="H162" s="5"/>
      <c r="I162" s="5"/>
      <c r="J162" s="5"/>
      <c r="K162" s="5"/>
      <c r="L162" s="5"/>
      <c r="M162" s="65"/>
      <c r="N162" s="5"/>
      <c r="O162" s="5"/>
      <c r="P162" s="6"/>
    </row>
    <row r="163" spans="2:16" ht="14.25" customHeight="1" x14ac:dyDescent="0.3">
      <c r="B163" s="374" t="s">
        <v>118</v>
      </c>
      <c r="C163" s="315"/>
      <c r="D163" s="309"/>
      <c r="E163" s="86"/>
      <c r="F163" s="11"/>
      <c r="G163" s="5"/>
      <c r="H163" s="5"/>
      <c r="I163" s="5"/>
      <c r="J163" s="5"/>
      <c r="K163" s="5"/>
      <c r="L163" s="5"/>
      <c r="M163" s="65"/>
      <c r="N163" s="304" t="s">
        <v>62</v>
      </c>
      <c r="O163" s="293"/>
      <c r="P163" s="301"/>
    </row>
    <row r="164" spans="2:16" ht="14.25" customHeight="1" x14ac:dyDescent="0.3">
      <c r="B164" s="374" t="s">
        <v>119</v>
      </c>
      <c r="C164" s="315"/>
      <c r="D164" s="309"/>
      <c r="E164" s="86"/>
      <c r="F164" s="11"/>
      <c r="G164" s="5"/>
      <c r="H164" s="5"/>
      <c r="I164" s="5"/>
      <c r="J164" s="5"/>
      <c r="K164" s="5"/>
      <c r="L164" s="5"/>
      <c r="M164" s="65"/>
      <c r="N164" s="5"/>
      <c r="O164" s="5"/>
      <c r="P164" s="6"/>
    </row>
    <row r="165" spans="2:16" ht="14.25" customHeight="1" x14ac:dyDescent="0.3">
      <c r="B165" s="374" t="s">
        <v>90</v>
      </c>
      <c r="C165" s="315"/>
      <c r="D165" s="309"/>
      <c r="E165" s="86"/>
      <c r="F165" s="11"/>
      <c r="G165" s="5"/>
      <c r="H165" s="5"/>
      <c r="I165" s="5"/>
      <c r="J165" s="5"/>
      <c r="K165" s="5"/>
      <c r="L165" s="5"/>
      <c r="M165" s="65"/>
      <c r="N165" s="304" t="s">
        <v>37</v>
      </c>
      <c r="O165" s="293"/>
      <c r="P165" s="301"/>
    </row>
    <row r="166" spans="2:16" ht="14.25" customHeight="1" x14ac:dyDescent="0.3">
      <c r="B166" s="374" t="s">
        <v>120</v>
      </c>
      <c r="C166" s="315"/>
      <c r="D166" s="309"/>
      <c r="E166" s="86"/>
      <c r="F166" s="11"/>
      <c r="G166" s="5"/>
      <c r="H166" s="5"/>
      <c r="I166" s="5"/>
      <c r="J166" s="5"/>
      <c r="K166" s="5"/>
      <c r="L166" s="5"/>
      <c r="M166" s="65"/>
      <c r="N166" s="5"/>
      <c r="O166" s="5"/>
      <c r="P166" s="6"/>
    </row>
    <row r="167" spans="2:16" ht="14.25" customHeight="1" x14ac:dyDescent="0.3">
      <c r="B167" s="374" t="s">
        <v>65</v>
      </c>
      <c r="C167" s="315"/>
      <c r="D167" s="309"/>
      <c r="E167" s="86"/>
      <c r="F167" s="11"/>
      <c r="G167" s="5"/>
      <c r="H167" s="5"/>
      <c r="I167" s="5"/>
      <c r="J167" s="5"/>
      <c r="K167" s="5"/>
      <c r="L167" s="5"/>
      <c r="M167" s="65"/>
      <c r="N167" s="5"/>
      <c r="O167" s="5"/>
      <c r="P167" s="6"/>
    </row>
    <row r="168" spans="2:16" ht="14.25" customHeight="1" x14ac:dyDescent="0.3">
      <c r="B168" s="374" t="s">
        <v>71</v>
      </c>
      <c r="C168" s="315"/>
      <c r="D168" s="309"/>
      <c r="E168" s="86"/>
      <c r="F168" s="11"/>
      <c r="G168" s="5"/>
      <c r="H168" s="5"/>
      <c r="I168" s="5"/>
      <c r="J168" s="5"/>
      <c r="K168" s="5"/>
      <c r="L168" s="5"/>
      <c r="M168" s="65"/>
      <c r="N168" s="5"/>
      <c r="O168" s="5"/>
      <c r="P168" s="6"/>
    </row>
    <row r="169" spans="2:16" ht="14.25" customHeight="1" x14ac:dyDescent="0.3">
      <c r="B169" s="374" t="s">
        <v>121</v>
      </c>
      <c r="C169" s="315"/>
      <c r="D169" s="309"/>
      <c r="E169" s="86"/>
      <c r="F169" s="11"/>
      <c r="G169" s="5"/>
      <c r="H169" s="5"/>
      <c r="I169" s="5"/>
      <c r="J169" s="5"/>
      <c r="K169" s="5"/>
      <c r="L169" s="5"/>
      <c r="M169" s="65"/>
      <c r="N169" s="5"/>
      <c r="O169" s="5"/>
      <c r="P169" s="6"/>
    </row>
    <row r="170" spans="2:16" ht="14.25" customHeight="1" x14ac:dyDescent="0.3">
      <c r="B170" s="374" t="s">
        <v>69</v>
      </c>
      <c r="C170" s="315"/>
      <c r="D170" s="309"/>
      <c r="E170" s="86"/>
      <c r="F170" s="11"/>
      <c r="G170" s="5"/>
      <c r="H170" s="5"/>
      <c r="I170" s="5"/>
      <c r="J170" s="5"/>
      <c r="K170" s="5"/>
      <c r="L170" s="5"/>
      <c r="M170" s="65"/>
      <c r="N170" s="5"/>
      <c r="O170" s="5"/>
      <c r="P170" s="6"/>
    </row>
    <row r="171" spans="2:16" ht="14.25" customHeight="1" x14ac:dyDescent="0.3">
      <c r="B171" s="374" t="s">
        <v>67</v>
      </c>
      <c r="C171" s="315"/>
      <c r="D171" s="309"/>
      <c r="E171" s="86"/>
      <c r="F171" s="11"/>
      <c r="G171" s="5"/>
      <c r="H171" s="5"/>
      <c r="I171" s="5"/>
      <c r="J171" s="5"/>
      <c r="K171" s="5"/>
      <c r="L171" s="5"/>
      <c r="M171" s="65"/>
      <c r="N171" s="5"/>
      <c r="O171" s="81" t="s">
        <v>78</v>
      </c>
      <c r="P171" s="6"/>
    </row>
    <row r="172" spans="2:16" ht="14.25" customHeight="1" x14ac:dyDescent="0.3">
      <c r="B172" s="374" t="s">
        <v>75</v>
      </c>
      <c r="C172" s="315"/>
      <c r="D172" s="309"/>
      <c r="E172" s="86"/>
      <c r="F172" s="11"/>
      <c r="G172" s="5"/>
      <c r="H172" s="5"/>
      <c r="I172" s="5"/>
      <c r="J172" s="5"/>
      <c r="K172" s="5"/>
      <c r="L172" s="5"/>
      <c r="M172" s="65"/>
      <c r="N172" s="5"/>
      <c r="O172" s="5"/>
      <c r="P172" s="6"/>
    </row>
    <row r="173" spans="2:16" ht="14.25" customHeight="1" x14ac:dyDescent="0.3">
      <c r="B173" s="374" t="s">
        <v>52</v>
      </c>
      <c r="C173" s="315"/>
      <c r="D173" s="309"/>
      <c r="E173" s="86"/>
      <c r="F173" s="63"/>
      <c r="G173" s="64"/>
      <c r="H173" s="64"/>
      <c r="I173" s="64"/>
      <c r="J173" s="64"/>
      <c r="K173" s="64"/>
      <c r="L173" s="64"/>
      <c r="M173" s="82"/>
      <c r="N173" s="8"/>
      <c r="O173" s="8"/>
      <c r="P173" s="9"/>
    </row>
    <row r="174" spans="2:16" ht="14.25" customHeight="1" x14ac:dyDescent="0.3"/>
    <row r="175" spans="2:16" ht="14.25" customHeight="1" x14ac:dyDescent="0.3"/>
    <row r="176" spans="2:16" ht="14.25" customHeight="1" x14ac:dyDescent="0.3"/>
    <row r="177" spans="2:38" ht="14.25" customHeight="1" x14ac:dyDescent="0.3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3"/>
      <c r="X177" s="1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3"/>
    </row>
    <row r="178" spans="2:38" ht="14.25" customHeight="1" x14ac:dyDescent="0.35">
      <c r="B178" s="300" t="s">
        <v>0</v>
      </c>
      <c r="C178" s="293"/>
      <c r="D178" s="293"/>
      <c r="E178" s="293"/>
      <c r="F178" s="293"/>
      <c r="G178" s="293"/>
      <c r="H178" s="293"/>
      <c r="I178" s="293"/>
      <c r="J178" s="293"/>
      <c r="K178" s="293"/>
      <c r="L178" s="293"/>
      <c r="M178" s="293"/>
      <c r="N178" s="293"/>
      <c r="O178" s="293"/>
      <c r="P178" s="301"/>
      <c r="X178" s="300" t="s">
        <v>0</v>
      </c>
      <c r="Y178" s="293"/>
      <c r="Z178" s="293"/>
      <c r="AA178" s="293"/>
      <c r="AB178" s="293"/>
      <c r="AC178" s="293"/>
      <c r="AD178" s="293"/>
      <c r="AE178" s="293"/>
      <c r="AF178" s="293"/>
      <c r="AG178" s="293"/>
      <c r="AH178" s="293"/>
      <c r="AI178" s="293"/>
      <c r="AJ178" s="293"/>
      <c r="AK178" s="293"/>
      <c r="AL178" s="301"/>
    </row>
    <row r="179" spans="2:38" ht="14.25" customHeight="1" x14ac:dyDescent="0.3">
      <c r="B179" s="305" t="s">
        <v>5</v>
      </c>
      <c r="C179" s="293"/>
      <c r="D179" s="293"/>
      <c r="E179" s="293"/>
      <c r="F179" s="293"/>
      <c r="G179" s="293"/>
      <c r="H179" s="293"/>
      <c r="I179" s="293"/>
      <c r="J179" s="293"/>
      <c r="K179" s="293"/>
      <c r="L179" s="293"/>
      <c r="M179" s="293"/>
      <c r="N179" s="293"/>
      <c r="O179" s="293"/>
      <c r="P179" s="301"/>
      <c r="X179" s="305" t="s">
        <v>5</v>
      </c>
      <c r="Y179" s="293"/>
      <c r="Z179" s="293"/>
      <c r="AA179" s="293"/>
      <c r="AB179" s="293"/>
      <c r="AC179" s="293"/>
      <c r="AD179" s="293"/>
      <c r="AE179" s="293"/>
      <c r="AF179" s="293"/>
      <c r="AG179" s="293"/>
      <c r="AH179" s="293"/>
      <c r="AI179" s="293"/>
      <c r="AJ179" s="293"/>
      <c r="AK179" s="293"/>
      <c r="AL179" s="301"/>
    </row>
    <row r="180" spans="2:38" ht="21.6" customHeight="1" x14ac:dyDescent="0.45">
      <c r="B180" s="306" t="s">
        <v>54</v>
      </c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3"/>
      <c r="P180" s="301"/>
      <c r="X180" s="306"/>
      <c r="Y180" s="293"/>
      <c r="Z180" s="293"/>
      <c r="AA180" s="293"/>
      <c r="AB180" s="293"/>
      <c r="AC180" s="293"/>
      <c r="AD180" s="293"/>
      <c r="AE180" s="293"/>
      <c r="AF180" s="293"/>
      <c r="AG180" s="293"/>
      <c r="AH180" s="293"/>
      <c r="AI180" s="293"/>
      <c r="AJ180" s="293"/>
      <c r="AK180" s="293"/>
      <c r="AL180" s="301"/>
    </row>
    <row r="181" spans="2:38" ht="14.25" customHeight="1" x14ac:dyDescent="0.3">
      <c r="B181" s="307"/>
      <c r="C181" s="294"/>
      <c r="D181" s="5"/>
      <c r="E181" s="5"/>
      <c r="F181" s="77"/>
      <c r="G181" s="5"/>
      <c r="H181" s="58">
        <v>45479</v>
      </c>
      <c r="I181" s="5"/>
      <c r="J181" s="5"/>
      <c r="K181" s="5"/>
      <c r="L181" s="5" t="s">
        <v>41</v>
      </c>
      <c r="M181" s="5"/>
      <c r="N181" s="11"/>
      <c r="O181" s="5"/>
      <c r="P181" s="6"/>
      <c r="X181" s="307"/>
      <c r="Y181" s="294"/>
      <c r="Z181" s="5"/>
      <c r="AA181" s="5"/>
      <c r="AB181" s="77"/>
      <c r="AC181" s="5"/>
      <c r="AD181" s="58">
        <v>45479</v>
      </c>
      <c r="AE181" s="5"/>
      <c r="AF181" s="5"/>
      <c r="AG181" s="5"/>
      <c r="AH181" s="5" t="s">
        <v>41</v>
      </c>
      <c r="AI181" s="5"/>
      <c r="AJ181" s="11"/>
      <c r="AK181" s="5"/>
      <c r="AL181" s="6"/>
    </row>
    <row r="182" spans="2:38" ht="14.25" customHeight="1" x14ac:dyDescent="0.3">
      <c r="B182" s="124" t="s">
        <v>42</v>
      </c>
      <c r="C182" s="125" t="s">
        <v>43</v>
      </c>
      <c r="D182" s="126" t="s">
        <v>12</v>
      </c>
      <c r="E182" s="127" t="s">
        <v>44</v>
      </c>
      <c r="F182" s="378" t="s">
        <v>122</v>
      </c>
      <c r="G182" s="315"/>
      <c r="H182" s="309"/>
      <c r="I182" s="379" t="s">
        <v>123</v>
      </c>
      <c r="J182" s="378" t="s">
        <v>124</v>
      </c>
      <c r="K182" s="315"/>
      <c r="L182" s="315"/>
      <c r="M182" s="309"/>
      <c r="N182" s="5"/>
      <c r="O182" s="5"/>
      <c r="P182" s="6"/>
      <c r="X182" s="124" t="s">
        <v>42</v>
      </c>
      <c r="Y182" s="125" t="s">
        <v>43</v>
      </c>
      <c r="Z182" s="126" t="s">
        <v>12</v>
      </c>
      <c r="AA182" s="128" t="s">
        <v>44</v>
      </c>
      <c r="AB182" s="119"/>
      <c r="AC182" s="119"/>
      <c r="AD182" s="119"/>
      <c r="AE182" s="119"/>
      <c r="AF182" s="119"/>
      <c r="AG182" s="119"/>
      <c r="AH182" s="119"/>
      <c r="AI182" s="120"/>
      <c r="AJ182" s="5"/>
      <c r="AK182" s="5"/>
      <c r="AL182" s="6"/>
    </row>
    <row r="183" spans="2:38" ht="14.25" customHeight="1" x14ac:dyDescent="0.3">
      <c r="B183" s="129" t="s">
        <v>46</v>
      </c>
      <c r="C183" s="129" t="s">
        <v>125</v>
      </c>
      <c r="D183" s="130" t="s">
        <v>126</v>
      </c>
      <c r="E183" s="130" t="s">
        <v>127</v>
      </c>
      <c r="F183" s="131" t="s">
        <v>18</v>
      </c>
      <c r="G183" s="131" t="s">
        <v>128</v>
      </c>
      <c r="H183" s="131" t="s">
        <v>129</v>
      </c>
      <c r="I183" s="380"/>
      <c r="J183" s="130" t="s">
        <v>130</v>
      </c>
      <c r="K183" s="130" t="s">
        <v>131</v>
      </c>
      <c r="L183" s="130" t="s">
        <v>132</v>
      </c>
      <c r="M183" s="130" t="s">
        <v>133</v>
      </c>
      <c r="N183" s="302" t="s">
        <v>47</v>
      </c>
      <c r="O183" s="293"/>
      <c r="P183" s="301"/>
      <c r="X183" s="313"/>
      <c r="Y183" s="294"/>
      <c r="Z183" s="302"/>
      <c r="AA183" s="301"/>
      <c r="AB183" s="5"/>
      <c r="AC183" s="5"/>
      <c r="AD183" s="5"/>
      <c r="AE183" s="5"/>
      <c r="AF183" s="5"/>
      <c r="AG183" s="5"/>
      <c r="AH183" s="5"/>
      <c r="AI183" s="65"/>
      <c r="AJ183" s="302" t="s">
        <v>47</v>
      </c>
      <c r="AK183" s="293"/>
      <c r="AL183" s="301"/>
    </row>
    <row r="184" spans="2:38" ht="14.25" customHeight="1" x14ac:dyDescent="0.3">
      <c r="B184" s="132">
        <v>1</v>
      </c>
      <c r="C184" s="86">
        <v>17</v>
      </c>
      <c r="D184" s="86">
        <f>C184*4250</f>
        <v>72250</v>
      </c>
      <c r="E184" s="133">
        <f t="shared" ref="E184:E199" si="0">D184/C184</f>
        <v>4250</v>
      </c>
      <c r="F184" s="86"/>
      <c r="G184" s="86"/>
      <c r="H184" s="86"/>
      <c r="I184" s="86"/>
      <c r="J184" s="86"/>
      <c r="K184" s="86"/>
      <c r="L184" s="86"/>
      <c r="M184" s="86"/>
      <c r="N184" s="302" t="s">
        <v>6</v>
      </c>
      <c r="O184" s="293"/>
      <c r="P184" s="301"/>
      <c r="X184" s="305"/>
      <c r="Y184" s="293"/>
      <c r="Z184" s="294"/>
      <c r="AA184" s="134"/>
      <c r="AB184" s="5"/>
      <c r="AC184" s="5"/>
      <c r="AD184" s="5"/>
      <c r="AE184" s="5"/>
      <c r="AF184" s="5"/>
      <c r="AG184" s="5"/>
      <c r="AH184" s="5"/>
      <c r="AI184" s="65"/>
      <c r="AJ184" s="302" t="s">
        <v>6</v>
      </c>
      <c r="AK184" s="293"/>
      <c r="AL184" s="301"/>
    </row>
    <row r="185" spans="2:38" ht="14.25" customHeight="1" x14ac:dyDescent="0.3">
      <c r="B185" s="132">
        <v>8</v>
      </c>
      <c r="C185" s="86">
        <v>10</v>
      </c>
      <c r="D185" s="86">
        <v>42724</v>
      </c>
      <c r="E185" s="133">
        <f t="shared" si="0"/>
        <v>4272.3999999999996</v>
      </c>
      <c r="F185" s="122"/>
      <c r="G185" s="122"/>
      <c r="H185" s="86"/>
      <c r="I185" s="86"/>
      <c r="J185" s="86"/>
      <c r="K185" s="86"/>
      <c r="L185" s="86"/>
      <c r="M185" s="86"/>
      <c r="N185" s="5"/>
      <c r="O185" s="5"/>
      <c r="P185" s="6"/>
      <c r="X185" s="292"/>
      <c r="Y185" s="293"/>
      <c r="Z185" s="294"/>
      <c r="AA185" s="135"/>
      <c r="AB185" s="70"/>
      <c r="AC185" s="70"/>
      <c r="AD185" s="5"/>
      <c r="AE185" s="5"/>
      <c r="AF185" s="5"/>
      <c r="AG185" s="5"/>
      <c r="AH185" s="5"/>
      <c r="AI185" s="65"/>
      <c r="AJ185" s="5"/>
      <c r="AK185" s="5"/>
      <c r="AL185" s="6"/>
    </row>
    <row r="186" spans="2:38" ht="14.25" customHeight="1" x14ac:dyDescent="0.3">
      <c r="B186" s="132">
        <v>9</v>
      </c>
      <c r="C186" s="86">
        <v>7</v>
      </c>
      <c r="D186" s="86">
        <v>28681</v>
      </c>
      <c r="E186" s="133">
        <f t="shared" si="0"/>
        <v>4097.2857142857147</v>
      </c>
      <c r="F186" s="122"/>
      <c r="G186" s="122"/>
      <c r="H186" s="86"/>
      <c r="I186" s="86"/>
      <c r="J186" s="86"/>
      <c r="K186" s="86"/>
      <c r="L186" s="86"/>
      <c r="M186" s="86"/>
      <c r="N186" s="303" t="s">
        <v>15</v>
      </c>
      <c r="O186" s="293"/>
      <c r="P186" s="301"/>
      <c r="X186" s="292"/>
      <c r="Y186" s="293"/>
      <c r="Z186" s="294"/>
      <c r="AA186" s="135"/>
      <c r="AB186" s="70"/>
      <c r="AC186" s="70"/>
      <c r="AD186" s="5"/>
      <c r="AE186" s="5"/>
      <c r="AF186" s="5"/>
      <c r="AG186" s="5"/>
      <c r="AH186" s="5"/>
      <c r="AI186" s="65"/>
      <c r="AJ186" s="303" t="s">
        <v>15</v>
      </c>
      <c r="AK186" s="293"/>
      <c r="AL186" s="301"/>
    </row>
    <row r="187" spans="2:38" ht="14.25" customHeight="1" x14ac:dyDescent="0.3">
      <c r="B187" s="132">
        <v>10</v>
      </c>
      <c r="C187" s="86">
        <v>7.5</v>
      </c>
      <c r="D187" s="86">
        <v>32875</v>
      </c>
      <c r="E187" s="133">
        <f t="shared" si="0"/>
        <v>4383.333333333333</v>
      </c>
      <c r="F187" s="122"/>
      <c r="G187" s="122"/>
      <c r="H187" s="86"/>
      <c r="I187" s="86"/>
      <c r="J187" s="86"/>
      <c r="K187" s="86"/>
      <c r="L187" s="86"/>
      <c r="M187" s="86"/>
      <c r="N187" s="5"/>
      <c r="O187" s="5"/>
      <c r="P187" s="6"/>
      <c r="X187" s="292"/>
      <c r="Y187" s="293"/>
      <c r="Z187" s="294"/>
      <c r="AA187" s="135"/>
      <c r="AB187" s="70"/>
      <c r="AC187" s="70"/>
      <c r="AD187" s="5"/>
      <c r="AE187" s="5"/>
      <c r="AF187" s="5"/>
      <c r="AG187" s="5"/>
      <c r="AH187" s="5"/>
      <c r="AI187" s="65"/>
      <c r="AJ187" s="5"/>
      <c r="AK187" s="5"/>
      <c r="AL187" s="6"/>
    </row>
    <row r="188" spans="2:38" ht="14.25" customHeight="1" x14ac:dyDescent="0.3">
      <c r="B188" s="132">
        <v>11</v>
      </c>
      <c r="C188" s="86">
        <v>2.5</v>
      </c>
      <c r="D188" s="86">
        <v>9180</v>
      </c>
      <c r="E188" s="133">
        <f t="shared" si="0"/>
        <v>3672</v>
      </c>
      <c r="F188" s="86"/>
      <c r="G188" s="86"/>
      <c r="H188" s="86"/>
      <c r="I188" s="86"/>
      <c r="J188" s="86"/>
      <c r="K188" s="86"/>
      <c r="L188" s="86"/>
      <c r="M188" s="86"/>
      <c r="N188" s="304" t="s">
        <v>33</v>
      </c>
      <c r="O188" s="293"/>
      <c r="P188" s="301"/>
      <c r="X188" s="292"/>
      <c r="Y188" s="293"/>
      <c r="Z188" s="294"/>
      <c r="AA188" s="6"/>
      <c r="AB188" s="5"/>
      <c r="AC188" s="5"/>
      <c r="AD188" s="5"/>
      <c r="AE188" s="5"/>
      <c r="AF188" s="5"/>
      <c r="AG188" s="5"/>
      <c r="AH188" s="5"/>
      <c r="AI188" s="65"/>
      <c r="AJ188" s="304" t="s">
        <v>134</v>
      </c>
      <c r="AK188" s="293"/>
      <c r="AL188" s="301"/>
    </row>
    <row r="189" spans="2:38" ht="14.25" customHeight="1" x14ac:dyDescent="0.3">
      <c r="B189" s="132">
        <v>12</v>
      </c>
      <c r="C189" s="86">
        <v>2.5</v>
      </c>
      <c r="D189" s="86">
        <v>9981</v>
      </c>
      <c r="E189" s="133">
        <f t="shared" si="0"/>
        <v>3992.4</v>
      </c>
      <c r="F189" s="86"/>
      <c r="G189" s="86"/>
      <c r="H189" s="86"/>
      <c r="I189" s="86"/>
      <c r="J189" s="86"/>
      <c r="K189" s="86"/>
      <c r="L189" s="86"/>
      <c r="M189" s="86"/>
      <c r="N189" s="5"/>
      <c r="O189" s="5"/>
      <c r="P189" s="6"/>
      <c r="X189" s="292"/>
      <c r="Y189" s="293"/>
      <c r="Z189" s="294"/>
      <c r="AA189" s="6"/>
      <c r="AB189" s="5"/>
      <c r="AC189" s="5"/>
      <c r="AD189" s="5"/>
      <c r="AE189" s="5"/>
      <c r="AF189" s="5"/>
      <c r="AG189" s="5"/>
      <c r="AH189" s="5"/>
      <c r="AI189" s="65"/>
      <c r="AJ189" s="5"/>
      <c r="AK189" s="5"/>
      <c r="AL189" s="6"/>
    </row>
    <row r="190" spans="2:38" ht="14.25" customHeight="1" x14ac:dyDescent="0.3">
      <c r="B190" s="132" t="s">
        <v>55</v>
      </c>
      <c r="C190" s="86">
        <v>9</v>
      </c>
      <c r="D190" s="86">
        <v>37184</v>
      </c>
      <c r="E190" s="133">
        <f t="shared" si="0"/>
        <v>4131.5555555555557</v>
      </c>
      <c r="F190" s="86"/>
      <c r="G190" s="86"/>
      <c r="H190" s="86"/>
      <c r="I190" s="86"/>
      <c r="J190" s="86"/>
      <c r="K190" s="86"/>
      <c r="L190" s="86"/>
      <c r="M190" s="86"/>
      <c r="N190" s="304" t="s">
        <v>38</v>
      </c>
      <c r="O190" s="293"/>
      <c r="P190" s="301"/>
      <c r="X190" s="292"/>
      <c r="Y190" s="293"/>
      <c r="Z190" s="294"/>
      <c r="AA190" s="6"/>
      <c r="AB190" s="5"/>
      <c r="AC190" s="5"/>
      <c r="AD190" s="5"/>
      <c r="AE190" s="5"/>
      <c r="AF190" s="5"/>
      <c r="AG190" s="5"/>
      <c r="AH190" s="5"/>
      <c r="AI190" s="65"/>
      <c r="AJ190" s="304" t="s">
        <v>38</v>
      </c>
      <c r="AK190" s="293"/>
      <c r="AL190" s="301"/>
    </row>
    <row r="191" spans="2:38" ht="14.25" customHeight="1" x14ac:dyDescent="0.3">
      <c r="B191" s="132" t="s">
        <v>57</v>
      </c>
      <c r="C191" s="86">
        <v>10</v>
      </c>
      <c r="D191" s="86">
        <v>41250</v>
      </c>
      <c r="E191" s="133">
        <f t="shared" si="0"/>
        <v>4125</v>
      </c>
      <c r="F191" s="86"/>
      <c r="G191" s="86"/>
      <c r="H191" s="86"/>
      <c r="I191" s="86"/>
      <c r="J191" s="86"/>
      <c r="K191" s="86"/>
      <c r="L191" s="86"/>
      <c r="M191" s="86"/>
      <c r="N191" s="5"/>
      <c r="O191" s="5"/>
      <c r="P191" s="6"/>
      <c r="X191" s="292"/>
      <c r="Y191" s="293"/>
      <c r="Z191" s="294"/>
      <c r="AA191" s="6"/>
      <c r="AB191" s="5"/>
      <c r="AC191" s="5"/>
      <c r="AD191" s="5"/>
      <c r="AE191" s="5"/>
      <c r="AF191" s="5"/>
      <c r="AG191" s="5"/>
      <c r="AH191" s="5"/>
      <c r="AI191" s="65"/>
      <c r="AJ191" s="5"/>
      <c r="AK191" s="5"/>
      <c r="AL191" s="6"/>
    </row>
    <row r="192" spans="2:38" ht="14.25" customHeight="1" x14ac:dyDescent="0.3">
      <c r="B192" s="132" t="s">
        <v>60</v>
      </c>
      <c r="C192" s="86">
        <v>10</v>
      </c>
      <c r="D192" s="86">
        <v>42700</v>
      </c>
      <c r="E192" s="133">
        <f t="shared" si="0"/>
        <v>4270</v>
      </c>
      <c r="F192" s="86"/>
      <c r="G192" s="86"/>
      <c r="H192" s="86"/>
      <c r="I192" s="86"/>
      <c r="J192" s="86"/>
      <c r="K192" s="86"/>
      <c r="L192" s="86"/>
      <c r="M192" s="86"/>
      <c r="N192" s="304" t="s">
        <v>62</v>
      </c>
      <c r="O192" s="293"/>
      <c r="P192" s="301"/>
      <c r="S192" s="295"/>
      <c r="X192" s="292"/>
      <c r="Y192" s="293"/>
      <c r="Z192" s="294"/>
      <c r="AA192" s="6"/>
      <c r="AB192" s="5"/>
      <c r="AC192" s="5"/>
      <c r="AD192" s="5"/>
      <c r="AE192" s="5"/>
      <c r="AF192" s="5"/>
      <c r="AG192" s="5"/>
      <c r="AH192" s="5"/>
      <c r="AI192" s="65"/>
      <c r="AJ192" s="304" t="s">
        <v>62</v>
      </c>
      <c r="AK192" s="293"/>
      <c r="AL192" s="301"/>
    </row>
    <row r="193" spans="2:38" ht="14.25" customHeight="1" x14ac:dyDescent="0.3">
      <c r="B193" s="132" t="s">
        <v>64</v>
      </c>
      <c r="C193" s="86">
        <v>10</v>
      </c>
      <c r="D193" s="86">
        <v>39154</v>
      </c>
      <c r="E193" s="133">
        <f t="shared" si="0"/>
        <v>3915.4</v>
      </c>
      <c r="F193" s="86"/>
      <c r="G193" s="86"/>
      <c r="H193" s="86"/>
      <c r="I193" s="86"/>
      <c r="J193" s="86"/>
      <c r="K193" s="86"/>
      <c r="L193" s="86"/>
      <c r="M193" s="86"/>
      <c r="N193" s="5"/>
      <c r="O193" s="5"/>
      <c r="P193" s="6"/>
      <c r="S193" s="296"/>
      <c r="X193" s="292"/>
      <c r="Y193" s="293"/>
      <c r="Z193" s="294"/>
      <c r="AA193" s="6"/>
      <c r="AB193" s="5"/>
      <c r="AC193" s="5"/>
      <c r="AD193" s="5"/>
      <c r="AE193" s="5"/>
      <c r="AF193" s="5"/>
      <c r="AG193" s="5"/>
      <c r="AH193" s="5"/>
      <c r="AI193" s="65"/>
      <c r="AJ193" s="5"/>
      <c r="AK193" s="5"/>
      <c r="AL193" s="6"/>
    </row>
    <row r="194" spans="2:38" ht="14.25" customHeight="1" x14ac:dyDescent="0.3">
      <c r="B194" s="132" t="s">
        <v>66</v>
      </c>
      <c r="C194" s="86">
        <v>17</v>
      </c>
      <c r="D194" s="86">
        <v>71246</v>
      </c>
      <c r="E194" s="133">
        <f t="shared" si="0"/>
        <v>4190.9411764705883</v>
      </c>
      <c r="F194" s="86"/>
      <c r="G194" s="86"/>
      <c r="H194" s="86"/>
      <c r="I194" s="86"/>
      <c r="J194" s="86"/>
      <c r="K194" s="86"/>
      <c r="L194" s="86"/>
      <c r="M194" s="86"/>
      <c r="N194" s="304" t="s">
        <v>37</v>
      </c>
      <c r="O194" s="293"/>
      <c r="P194" s="301"/>
      <c r="S194" s="136"/>
      <c r="X194" s="292"/>
      <c r="Y194" s="293"/>
      <c r="Z194" s="294"/>
      <c r="AA194" s="6"/>
      <c r="AB194" s="5"/>
      <c r="AC194" s="5"/>
      <c r="AD194" s="5"/>
      <c r="AE194" s="5"/>
      <c r="AF194" s="5"/>
      <c r="AG194" s="5"/>
      <c r="AH194" s="5"/>
      <c r="AI194" s="65"/>
      <c r="AJ194" s="304" t="s">
        <v>37</v>
      </c>
      <c r="AK194" s="293"/>
      <c r="AL194" s="301"/>
    </row>
    <row r="195" spans="2:38" ht="14.25" customHeight="1" x14ac:dyDescent="0.3">
      <c r="B195" s="132" t="s">
        <v>68</v>
      </c>
      <c r="C195" s="86">
        <v>6</v>
      </c>
      <c r="D195" s="86">
        <v>24225</v>
      </c>
      <c r="E195" s="133">
        <f t="shared" si="0"/>
        <v>4037.5</v>
      </c>
      <c r="F195" s="86"/>
      <c r="G195" s="86"/>
      <c r="H195" s="86"/>
      <c r="I195" s="86"/>
      <c r="J195" s="86"/>
      <c r="K195" s="86"/>
      <c r="L195" s="86"/>
      <c r="M195" s="86"/>
      <c r="N195" s="5"/>
      <c r="O195" s="5"/>
      <c r="P195" s="6"/>
      <c r="S195" s="136"/>
      <c r="X195" s="292"/>
      <c r="Y195" s="293"/>
      <c r="Z195" s="294"/>
      <c r="AA195" s="6"/>
      <c r="AB195" s="5"/>
      <c r="AC195" s="5"/>
      <c r="AD195" s="5"/>
      <c r="AE195" s="5"/>
      <c r="AF195" s="5"/>
      <c r="AG195" s="5"/>
      <c r="AH195" s="5"/>
      <c r="AI195" s="65"/>
      <c r="AJ195" s="5"/>
      <c r="AK195" s="5"/>
      <c r="AL195" s="6"/>
    </row>
    <row r="196" spans="2:38" ht="14.25" customHeight="1" x14ac:dyDescent="0.3">
      <c r="B196" s="132">
        <v>3</v>
      </c>
      <c r="C196" s="86">
        <v>13</v>
      </c>
      <c r="D196" s="86">
        <v>51428</v>
      </c>
      <c r="E196" s="133">
        <f t="shared" si="0"/>
        <v>3956</v>
      </c>
      <c r="F196" s="86"/>
      <c r="G196" s="86"/>
      <c r="H196" s="86"/>
      <c r="I196" s="86"/>
      <c r="J196" s="86"/>
      <c r="K196" s="86"/>
      <c r="L196" s="86"/>
      <c r="M196" s="86"/>
      <c r="N196" s="5"/>
      <c r="O196" s="5"/>
      <c r="P196" s="6"/>
      <c r="S196" s="295"/>
      <c r="X196" s="292"/>
      <c r="Y196" s="293"/>
      <c r="Z196" s="294"/>
      <c r="AA196" s="6"/>
      <c r="AB196" s="5"/>
      <c r="AC196" s="5"/>
      <c r="AD196" s="5"/>
      <c r="AE196" s="5"/>
      <c r="AF196" s="5"/>
      <c r="AG196" s="5"/>
      <c r="AH196" s="5"/>
      <c r="AI196" s="65"/>
      <c r="AJ196" s="5"/>
      <c r="AK196" s="5"/>
      <c r="AL196" s="6"/>
    </row>
    <row r="197" spans="2:38" ht="14.25" customHeight="1" x14ac:dyDescent="0.3">
      <c r="B197" s="132">
        <v>4</v>
      </c>
      <c r="C197" s="86">
        <v>20</v>
      </c>
      <c r="D197" s="86">
        <v>84225</v>
      </c>
      <c r="E197" s="133">
        <f t="shared" si="0"/>
        <v>4211.25</v>
      </c>
      <c r="F197" s="86"/>
      <c r="G197" s="86"/>
      <c r="H197" s="86"/>
      <c r="I197" s="86"/>
      <c r="J197" s="86"/>
      <c r="K197" s="86"/>
      <c r="L197" s="86"/>
      <c r="M197" s="86"/>
      <c r="N197" s="5"/>
      <c r="O197" s="5"/>
      <c r="P197" s="6"/>
      <c r="S197" s="296"/>
      <c r="X197" s="292"/>
      <c r="Y197" s="293"/>
      <c r="Z197" s="294"/>
      <c r="AA197" s="6"/>
      <c r="AB197" s="5"/>
      <c r="AC197" s="5"/>
      <c r="AD197" s="5"/>
      <c r="AE197" s="5"/>
      <c r="AF197" s="5"/>
      <c r="AG197" s="5"/>
      <c r="AH197" s="5"/>
      <c r="AI197" s="65"/>
      <c r="AJ197" s="5"/>
      <c r="AK197" s="5"/>
      <c r="AL197" s="6"/>
    </row>
    <row r="198" spans="2:38" ht="14.25" customHeight="1" x14ac:dyDescent="0.3">
      <c r="B198" s="132">
        <v>5</v>
      </c>
      <c r="C198" s="86">
        <v>20</v>
      </c>
      <c r="D198" s="86">
        <v>82421</v>
      </c>
      <c r="E198" s="133">
        <f t="shared" si="0"/>
        <v>4121.05</v>
      </c>
      <c r="F198" s="86"/>
      <c r="G198" s="86"/>
      <c r="H198" s="86"/>
      <c r="I198" s="86"/>
      <c r="J198" s="86"/>
      <c r="K198" s="86"/>
      <c r="L198" s="86"/>
      <c r="M198" s="86"/>
      <c r="N198" s="5"/>
      <c r="O198" s="5"/>
      <c r="P198" s="6"/>
      <c r="S198" s="136"/>
      <c r="X198" s="292"/>
      <c r="Y198" s="293"/>
      <c r="Z198" s="294"/>
      <c r="AA198" s="6"/>
      <c r="AB198" s="5"/>
      <c r="AC198" s="5"/>
      <c r="AD198" s="5"/>
      <c r="AE198" s="5"/>
      <c r="AF198" s="5"/>
      <c r="AG198" s="5"/>
      <c r="AH198" s="5"/>
      <c r="AI198" s="65"/>
      <c r="AJ198" s="5"/>
      <c r="AK198" s="5"/>
      <c r="AL198" s="6"/>
    </row>
    <row r="199" spans="2:38" ht="14.25" customHeight="1" x14ac:dyDescent="0.3">
      <c r="B199" s="137" t="s">
        <v>76</v>
      </c>
      <c r="C199" s="138">
        <f t="shared" ref="C199:D199" si="1">SUM(C184:C198)</f>
        <v>161.5</v>
      </c>
      <c r="D199" s="138">
        <f t="shared" si="1"/>
        <v>669524</v>
      </c>
      <c r="E199" s="139">
        <f t="shared" si="0"/>
        <v>4145.6594427244581</v>
      </c>
      <c r="F199" s="140"/>
      <c r="G199" s="140"/>
      <c r="H199" s="140"/>
      <c r="I199" s="140"/>
      <c r="J199" s="140"/>
      <c r="K199" s="140"/>
      <c r="L199" s="140"/>
      <c r="M199" s="140"/>
      <c r="N199" s="5"/>
      <c r="O199" s="5"/>
      <c r="P199" s="6"/>
      <c r="S199" s="136"/>
      <c r="X199" s="292"/>
      <c r="Y199" s="293"/>
      <c r="Z199" s="294"/>
      <c r="AA199" s="6"/>
      <c r="AB199" s="5"/>
      <c r="AC199" s="5"/>
      <c r="AD199" s="5"/>
      <c r="AE199" s="5"/>
      <c r="AF199" s="5"/>
      <c r="AG199" s="5"/>
      <c r="AH199" s="5"/>
      <c r="AI199" s="65"/>
      <c r="AJ199" s="5"/>
      <c r="AK199" s="5"/>
      <c r="AL199" s="6"/>
    </row>
    <row r="200" spans="2:38" ht="14.25" customHeight="1" x14ac:dyDescent="0.3">
      <c r="B200" s="118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20"/>
      <c r="N200" s="5"/>
      <c r="O200" s="81" t="s">
        <v>78</v>
      </c>
      <c r="P200" s="6"/>
      <c r="S200" s="295"/>
      <c r="X200" s="292"/>
      <c r="Y200" s="293"/>
      <c r="Z200" s="294"/>
      <c r="AA200" s="6"/>
      <c r="AB200" s="5"/>
      <c r="AC200" s="5"/>
      <c r="AD200" s="5"/>
      <c r="AE200" s="5"/>
      <c r="AF200" s="5"/>
      <c r="AG200" s="5"/>
      <c r="AH200" s="5"/>
      <c r="AI200" s="65"/>
      <c r="AJ200" s="5"/>
      <c r="AK200" s="81" t="s">
        <v>78</v>
      </c>
      <c r="AL200" s="6"/>
    </row>
    <row r="201" spans="2:38" ht="14.25" customHeight="1" x14ac:dyDescent="0.3">
      <c r="B201" s="11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65"/>
      <c r="N201" s="5"/>
      <c r="O201" s="5"/>
      <c r="P201" s="6"/>
      <c r="S201" s="296"/>
      <c r="X201" s="292"/>
      <c r="Y201" s="293"/>
      <c r="Z201" s="294"/>
      <c r="AA201" s="6"/>
      <c r="AB201" s="5"/>
      <c r="AC201" s="5"/>
      <c r="AD201" s="5"/>
      <c r="AE201" s="5"/>
      <c r="AF201" s="5"/>
      <c r="AG201" s="5"/>
      <c r="AH201" s="5"/>
      <c r="AI201" s="65"/>
      <c r="AJ201" s="5"/>
      <c r="AK201" s="5"/>
      <c r="AL201" s="6"/>
    </row>
    <row r="202" spans="2:38" ht="14.25" customHeight="1" x14ac:dyDescent="0.3">
      <c r="B202" s="63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82"/>
      <c r="N202" s="8"/>
      <c r="O202" s="8"/>
      <c r="P202" s="9"/>
      <c r="S202" s="136"/>
      <c r="X202" s="297"/>
      <c r="Y202" s="298"/>
      <c r="Z202" s="299"/>
      <c r="AA202" s="9"/>
      <c r="AB202" s="8"/>
      <c r="AC202" s="8"/>
      <c r="AD202" s="8"/>
      <c r="AE202" s="8"/>
      <c r="AF202" s="8"/>
      <c r="AG202" s="8"/>
      <c r="AH202" s="8"/>
      <c r="AI202" s="141"/>
      <c r="AJ202" s="8"/>
      <c r="AK202" s="8"/>
      <c r="AL202" s="9"/>
    </row>
    <row r="203" spans="2:38" ht="14.25" customHeight="1" x14ac:dyDescent="0.3">
      <c r="S203" s="136"/>
    </row>
    <row r="204" spans="2:38" ht="14.25" customHeight="1" x14ac:dyDescent="0.3">
      <c r="S204" s="77"/>
    </row>
    <row r="205" spans="2:38" ht="14.25" customHeight="1" x14ac:dyDescent="0.3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3"/>
      <c r="S205" s="77"/>
    </row>
    <row r="206" spans="2:38" ht="14.25" customHeight="1" x14ac:dyDescent="0.35">
      <c r="B206" s="300" t="s">
        <v>0</v>
      </c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3"/>
      <c r="P206" s="301"/>
      <c r="S206" s="77"/>
    </row>
    <row r="207" spans="2:38" ht="14.25" customHeight="1" x14ac:dyDescent="0.3">
      <c r="B207" s="305" t="s">
        <v>5</v>
      </c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3"/>
      <c r="P207" s="301"/>
      <c r="S207" s="77"/>
    </row>
    <row r="208" spans="2:38" ht="25.2" customHeight="1" x14ac:dyDescent="0.45">
      <c r="B208" s="306" t="s">
        <v>135</v>
      </c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301"/>
      <c r="S208" s="77"/>
    </row>
    <row r="209" spans="2:19" ht="14.25" customHeight="1" x14ac:dyDescent="0.3">
      <c r="B209" s="307"/>
      <c r="C209" s="294"/>
      <c r="D209" s="5"/>
      <c r="E209" s="5"/>
      <c r="F209" s="77"/>
      <c r="G209" s="5"/>
      <c r="H209" s="58">
        <v>45479</v>
      </c>
      <c r="I209" s="5"/>
      <c r="J209" s="5"/>
      <c r="K209" s="5"/>
      <c r="L209" s="5" t="s">
        <v>41</v>
      </c>
      <c r="M209" s="5"/>
      <c r="N209" s="11"/>
      <c r="O209" s="5"/>
      <c r="P209" s="6"/>
      <c r="S209" s="77"/>
    </row>
    <row r="210" spans="2:19" ht="14.25" customHeight="1" x14ac:dyDescent="0.3">
      <c r="B210" s="124" t="s">
        <v>42</v>
      </c>
      <c r="C210" s="125" t="s">
        <v>43</v>
      </c>
      <c r="D210" s="126" t="s">
        <v>12</v>
      </c>
      <c r="E210" s="127" t="s">
        <v>44</v>
      </c>
      <c r="F210" s="308" t="s">
        <v>136</v>
      </c>
      <c r="G210" s="309"/>
      <c r="H210" s="308" t="s">
        <v>137</v>
      </c>
      <c r="I210" s="309"/>
      <c r="J210" s="310" t="s">
        <v>124</v>
      </c>
      <c r="K210" s="311"/>
      <c r="L210" s="311"/>
      <c r="M210" s="312"/>
      <c r="N210" s="5"/>
      <c r="O210" s="5"/>
      <c r="P210" s="6"/>
    </row>
    <row r="211" spans="2:19" ht="14.25" customHeight="1" x14ac:dyDescent="0.3">
      <c r="B211" s="313" t="s">
        <v>138</v>
      </c>
      <c r="C211" s="293"/>
      <c r="D211" s="293"/>
      <c r="E211" s="294"/>
      <c r="F211" s="142" t="s">
        <v>139</v>
      </c>
      <c r="G211" s="142" t="s">
        <v>140</v>
      </c>
      <c r="H211" s="142" t="s">
        <v>139</v>
      </c>
      <c r="I211" s="142" t="s">
        <v>140</v>
      </c>
      <c r="J211" s="142"/>
      <c r="K211" s="142"/>
      <c r="L211" s="142"/>
      <c r="M211" s="142"/>
      <c r="N211" s="302" t="s">
        <v>47</v>
      </c>
      <c r="O211" s="293"/>
      <c r="P211" s="301"/>
    </row>
    <row r="212" spans="2:19" ht="14.25" customHeight="1" x14ac:dyDescent="0.3">
      <c r="B212" s="314" t="s">
        <v>45</v>
      </c>
      <c r="C212" s="315"/>
      <c r="D212" s="315"/>
      <c r="E212" s="316"/>
      <c r="F212" s="142"/>
      <c r="G212" s="142"/>
      <c r="H212" s="142"/>
      <c r="I212" s="142"/>
      <c r="J212" s="142"/>
      <c r="K212" s="142"/>
      <c r="L212" s="142"/>
      <c r="M212" s="142"/>
      <c r="N212" s="302" t="s">
        <v>6</v>
      </c>
      <c r="O212" s="293"/>
      <c r="P212" s="301"/>
    </row>
    <row r="213" spans="2:19" ht="14.25" customHeight="1" x14ac:dyDescent="0.3">
      <c r="B213" s="314" t="s">
        <v>88</v>
      </c>
      <c r="C213" s="315"/>
      <c r="D213" s="315"/>
      <c r="E213" s="316"/>
      <c r="F213" s="122"/>
      <c r="G213" s="122"/>
      <c r="H213" s="86"/>
      <c r="I213" s="86"/>
      <c r="J213" s="86"/>
      <c r="K213" s="86"/>
      <c r="L213" s="86"/>
      <c r="M213" s="86"/>
      <c r="N213" s="5"/>
      <c r="O213" s="5"/>
      <c r="P213" s="6"/>
    </row>
    <row r="214" spans="2:19" ht="14.25" customHeight="1" x14ac:dyDescent="0.3">
      <c r="B214" s="314" t="s">
        <v>141</v>
      </c>
      <c r="C214" s="315"/>
      <c r="D214" s="315"/>
      <c r="E214" s="316"/>
      <c r="F214" s="122"/>
      <c r="G214" s="122"/>
      <c r="H214" s="86"/>
      <c r="I214" s="86"/>
      <c r="J214" s="86"/>
      <c r="K214" s="86"/>
      <c r="L214" s="86"/>
      <c r="M214" s="86"/>
      <c r="N214" s="303" t="s">
        <v>15</v>
      </c>
      <c r="O214" s="293"/>
      <c r="P214" s="301"/>
    </row>
    <row r="215" spans="2:19" ht="14.25" customHeight="1" x14ac:dyDescent="0.3">
      <c r="B215" s="314" t="s">
        <v>142</v>
      </c>
      <c r="C215" s="315"/>
      <c r="D215" s="315"/>
      <c r="E215" s="316"/>
      <c r="F215" s="122"/>
      <c r="G215" s="122"/>
      <c r="H215" s="86"/>
      <c r="I215" s="86"/>
      <c r="J215" s="86"/>
      <c r="K215" s="86"/>
      <c r="L215" s="86"/>
      <c r="M215" s="86"/>
      <c r="N215" s="5"/>
      <c r="O215" s="5"/>
      <c r="P215" s="6"/>
    </row>
    <row r="216" spans="2:19" ht="14.25" customHeight="1" x14ac:dyDescent="0.3">
      <c r="B216" s="314" t="s">
        <v>143</v>
      </c>
      <c r="C216" s="315"/>
      <c r="D216" s="315"/>
      <c r="E216" s="316"/>
      <c r="F216" s="86"/>
      <c r="G216" s="86"/>
      <c r="H216" s="86"/>
      <c r="I216" s="86"/>
      <c r="J216" s="86"/>
      <c r="K216" s="86"/>
      <c r="L216" s="86"/>
      <c r="M216" s="86"/>
      <c r="N216" s="304" t="s">
        <v>53</v>
      </c>
      <c r="O216" s="293"/>
      <c r="P216" s="301"/>
    </row>
    <row r="217" spans="2:19" ht="14.25" customHeight="1" x14ac:dyDescent="0.3">
      <c r="B217" s="314" t="s">
        <v>144</v>
      </c>
      <c r="C217" s="315"/>
      <c r="D217" s="315"/>
      <c r="E217" s="316"/>
      <c r="F217" s="86"/>
      <c r="G217" s="86"/>
      <c r="H217" s="86"/>
      <c r="I217" s="86"/>
      <c r="J217" s="86"/>
      <c r="K217" s="86"/>
      <c r="L217" s="86"/>
      <c r="M217" s="86"/>
      <c r="N217" s="5"/>
      <c r="O217" s="5"/>
      <c r="P217" s="6"/>
    </row>
    <row r="218" spans="2:19" ht="14.25" customHeight="1" x14ac:dyDescent="0.3">
      <c r="B218" s="314" t="s">
        <v>145</v>
      </c>
      <c r="C218" s="315"/>
      <c r="D218" s="315"/>
      <c r="E218" s="316"/>
      <c r="F218" s="86"/>
      <c r="G218" s="86"/>
      <c r="H218" s="86"/>
      <c r="I218" s="86"/>
      <c r="J218" s="86"/>
      <c r="K218" s="86"/>
      <c r="L218" s="86"/>
      <c r="M218" s="86"/>
      <c r="N218" s="304" t="s">
        <v>38</v>
      </c>
      <c r="O218" s="293"/>
      <c r="P218" s="301"/>
    </row>
    <row r="219" spans="2:19" ht="14.25" customHeight="1" x14ac:dyDescent="0.3">
      <c r="B219" s="314" t="s">
        <v>146</v>
      </c>
      <c r="C219" s="315"/>
      <c r="D219" s="315"/>
      <c r="E219" s="316"/>
      <c r="F219" s="86"/>
      <c r="G219" s="86"/>
      <c r="H219" s="86"/>
      <c r="I219" s="86"/>
      <c r="J219" s="86"/>
      <c r="K219" s="86"/>
      <c r="L219" s="86"/>
      <c r="M219" s="86"/>
      <c r="N219" s="5"/>
      <c r="O219" s="5"/>
      <c r="P219" s="6"/>
    </row>
    <row r="220" spans="2:19" ht="14.25" customHeight="1" x14ac:dyDescent="0.3">
      <c r="B220" s="317" t="s">
        <v>147</v>
      </c>
      <c r="C220" s="315"/>
      <c r="D220" s="315"/>
      <c r="E220" s="316"/>
      <c r="F220" s="143"/>
      <c r="G220" s="143"/>
      <c r="H220" s="143"/>
      <c r="I220" s="143"/>
      <c r="J220" s="143"/>
      <c r="K220" s="143"/>
      <c r="L220" s="143"/>
      <c r="M220" s="143"/>
      <c r="N220" s="304" t="s">
        <v>62</v>
      </c>
      <c r="O220" s="293"/>
      <c r="P220" s="301"/>
    </row>
    <row r="221" spans="2:19" ht="14.25" customHeight="1" x14ac:dyDescent="0.3">
      <c r="B221" s="314" t="s">
        <v>148</v>
      </c>
      <c r="C221" s="315"/>
      <c r="D221" s="315"/>
      <c r="E221" s="316"/>
      <c r="F221" s="86"/>
      <c r="G221" s="86"/>
      <c r="H221" s="86"/>
      <c r="I221" s="86"/>
      <c r="J221" s="86"/>
      <c r="K221" s="86"/>
      <c r="L221" s="86"/>
      <c r="M221" s="86"/>
      <c r="N221" s="5"/>
      <c r="O221" s="5"/>
      <c r="P221" s="6"/>
    </row>
    <row r="222" spans="2:19" ht="14.25" customHeight="1" x14ac:dyDescent="0.3">
      <c r="B222" s="314" t="s">
        <v>149</v>
      </c>
      <c r="C222" s="315"/>
      <c r="D222" s="315"/>
      <c r="E222" s="316"/>
      <c r="F222" s="86"/>
      <c r="G222" s="86"/>
      <c r="H222" s="86"/>
      <c r="I222" s="86"/>
      <c r="J222" s="86"/>
      <c r="K222" s="86"/>
      <c r="L222" s="86"/>
      <c r="M222" s="86"/>
      <c r="N222" s="304" t="s">
        <v>37</v>
      </c>
      <c r="O222" s="293"/>
      <c r="P222" s="301"/>
    </row>
    <row r="223" spans="2:19" ht="14.25" customHeight="1" x14ac:dyDescent="0.3">
      <c r="B223" s="314" t="s">
        <v>150</v>
      </c>
      <c r="C223" s="315"/>
      <c r="D223" s="315"/>
      <c r="E223" s="316"/>
      <c r="F223" s="86"/>
      <c r="G223" s="86"/>
      <c r="H223" s="86"/>
      <c r="I223" s="86"/>
      <c r="J223" s="86"/>
      <c r="K223" s="86"/>
      <c r="L223" s="86"/>
      <c r="M223" s="86"/>
      <c r="N223" s="5"/>
      <c r="O223" s="5"/>
      <c r="P223" s="6"/>
    </row>
    <row r="224" spans="2:19" ht="14.25" customHeight="1" x14ac:dyDescent="0.3">
      <c r="B224" s="314" t="s">
        <v>145</v>
      </c>
      <c r="C224" s="315"/>
      <c r="D224" s="315"/>
      <c r="E224" s="316"/>
      <c r="F224" s="86"/>
      <c r="G224" s="86"/>
      <c r="H224" s="86"/>
      <c r="I224" s="86"/>
      <c r="J224" s="86"/>
      <c r="K224" s="86"/>
      <c r="L224" s="86"/>
      <c r="M224" s="86"/>
      <c r="N224" s="5"/>
      <c r="O224" s="5"/>
      <c r="P224" s="6"/>
    </row>
    <row r="225" spans="2:16" ht="14.25" customHeight="1" x14ac:dyDescent="0.3">
      <c r="B225" s="314" t="s">
        <v>52</v>
      </c>
      <c r="C225" s="315"/>
      <c r="D225" s="315"/>
      <c r="E225" s="316"/>
      <c r="F225" s="86"/>
      <c r="G225" s="86"/>
      <c r="H225" s="86"/>
      <c r="I225" s="86"/>
      <c r="J225" s="86"/>
      <c r="K225" s="86"/>
      <c r="L225" s="86"/>
      <c r="M225" s="86"/>
      <c r="N225" s="5"/>
      <c r="O225" s="5"/>
      <c r="P225" s="6"/>
    </row>
    <row r="226" spans="2:16" ht="14.25" customHeight="1" x14ac:dyDescent="0.3">
      <c r="B226" s="317" t="s">
        <v>151</v>
      </c>
      <c r="C226" s="315"/>
      <c r="D226" s="315"/>
      <c r="E226" s="316"/>
      <c r="F226" s="143"/>
      <c r="G226" s="143"/>
      <c r="H226" s="143"/>
      <c r="I226" s="143"/>
      <c r="J226" s="143"/>
      <c r="K226" s="143"/>
      <c r="L226" s="143"/>
      <c r="M226" s="143"/>
      <c r="N226" s="5"/>
      <c r="O226" s="5"/>
      <c r="P226" s="6"/>
    </row>
    <row r="227" spans="2:16" ht="14.25" customHeight="1" x14ac:dyDescent="0.3">
      <c r="B227" s="314" t="s">
        <v>152</v>
      </c>
      <c r="C227" s="315"/>
      <c r="D227" s="315"/>
      <c r="E227" s="316"/>
      <c r="F227" s="86"/>
      <c r="G227" s="86"/>
      <c r="H227" s="86"/>
      <c r="I227" s="86"/>
      <c r="J227" s="86"/>
      <c r="K227" s="86"/>
      <c r="L227" s="86"/>
      <c r="M227" s="86"/>
      <c r="N227" s="5"/>
      <c r="O227" s="5"/>
      <c r="P227" s="6"/>
    </row>
    <row r="228" spans="2:16" ht="14.25" customHeight="1" x14ac:dyDescent="0.3">
      <c r="B228" s="314" t="s">
        <v>153</v>
      </c>
      <c r="C228" s="315"/>
      <c r="D228" s="315"/>
      <c r="E228" s="316"/>
      <c r="F228" s="86"/>
      <c r="G228" s="86"/>
      <c r="H228" s="86"/>
      <c r="I228" s="86"/>
      <c r="J228" s="86"/>
      <c r="K228" s="86"/>
      <c r="L228" s="86"/>
      <c r="M228" s="86"/>
      <c r="N228" s="5"/>
      <c r="O228" s="81" t="s">
        <v>78</v>
      </c>
      <c r="P228" s="6"/>
    </row>
    <row r="229" spans="2:16" ht="14.25" customHeight="1" x14ac:dyDescent="0.3">
      <c r="B229" s="317" t="s">
        <v>154</v>
      </c>
      <c r="C229" s="315"/>
      <c r="D229" s="315"/>
      <c r="E229" s="316"/>
      <c r="F229" s="143"/>
      <c r="G229" s="143"/>
      <c r="H229" s="143"/>
      <c r="I229" s="143"/>
      <c r="J229" s="143"/>
      <c r="K229" s="143"/>
      <c r="L229" s="143"/>
      <c r="M229" s="143"/>
      <c r="N229" s="5"/>
      <c r="O229" s="5"/>
      <c r="P229" s="6"/>
    </row>
    <row r="230" spans="2:16" ht="14.25" customHeight="1" x14ac:dyDescent="0.3">
      <c r="B230" s="318" t="s">
        <v>155</v>
      </c>
      <c r="C230" s="319"/>
      <c r="D230" s="319"/>
      <c r="E230" s="320"/>
      <c r="F230" s="86"/>
      <c r="G230" s="86"/>
      <c r="H230" s="86"/>
      <c r="I230" s="86"/>
      <c r="J230" s="86"/>
      <c r="K230" s="86"/>
      <c r="L230" s="86"/>
      <c r="M230" s="86"/>
      <c r="N230" s="8"/>
      <c r="O230" s="8"/>
      <c r="P230" s="9"/>
    </row>
    <row r="231" spans="2:16" ht="14.25" customHeight="1" x14ac:dyDescent="0.3"/>
    <row r="232" spans="2:16" ht="14.25" customHeight="1" x14ac:dyDescent="0.3"/>
    <row r="233" spans="2:16" ht="14.25" customHeight="1" x14ac:dyDescent="0.3"/>
    <row r="234" spans="2:16" ht="14.25" customHeight="1" x14ac:dyDescent="0.3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3"/>
    </row>
    <row r="235" spans="2:16" ht="14.25" customHeight="1" x14ac:dyDescent="0.35">
      <c r="B235" s="300" t="s">
        <v>0</v>
      </c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293"/>
      <c r="P235" s="301"/>
    </row>
    <row r="236" spans="2:16" ht="14.25" customHeight="1" x14ac:dyDescent="0.3">
      <c r="B236" s="305" t="s">
        <v>5</v>
      </c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301"/>
    </row>
    <row r="237" spans="2:16" ht="20.399999999999999" customHeight="1" x14ac:dyDescent="0.45">
      <c r="B237" s="306" t="s">
        <v>30</v>
      </c>
      <c r="C237" s="293"/>
      <c r="D237" s="293"/>
      <c r="E237" s="293"/>
      <c r="F237" s="293"/>
      <c r="G237" s="293"/>
      <c r="H237" s="293"/>
      <c r="I237" s="293"/>
      <c r="J237" s="293"/>
      <c r="K237" s="293"/>
      <c r="L237" s="293"/>
      <c r="M237" s="293"/>
      <c r="N237" s="293"/>
      <c r="O237" s="293"/>
      <c r="P237" s="301"/>
    </row>
    <row r="238" spans="2:16" ht="14.25" customHeight="1" x14ac:dyDescent="0.3">
      <c r="B238" s="307"/>
      <c r="C238" s="294"/>
      <c r="D238" s="5"/>
      <c r="E238" s="5"/>
      <c r="F238" s="77"/>
      <c r="G238" s="5"/>
      <c r="H238" s="58">
        <v>45479</v>
      </c>
      <c r="I238" s="5"/>
      <c r="J238" s="5"/>
      <c r="K238" s="5"/>
      <c r="L238" s="5" t="s">
        <v>41</v>
      </c>
      <c r="M238" s="5"/>
      <c r="N238" s="11"/>
      <c r="O238" s="5"/>
      <c r="P238" s="6"/>
    </row>
    <row r="239" spans="2:16" ht="14.25" customHeight="1" x14ac:dyDescent="0.3">
      <c r="B239" s="124" t="s">
        <v>42</v>
      </c>
      <c r="C239" s="125" t="s">
        <v>43</v>
      </c>
      <c r="D239" s="126" t="s">
        <v>12</v>
      </c>
      <c r="E239" s="128" t="s">
        <v>44</v>
      </c>
      <c r="F239" s="119"/>
      <c r="G239" s="119"/>
      <c r="H239" s="119"/>
      <c r="I239" s="119"/>
      <c r="J239" s="119"/>
      <c r="K239" s="119"/>
      <c r="L239" s="119"/>
      <c r="M239" s="120"/>
      <c r="N239" s="5"/>
      <c r="O239" s="5"/>
      <c r="P239" s="6"/>
    </row>
    <row r="240" spans="2:16" ht="14.25" customHeight="1" x14ac:dyDescent="0.3">
      <c r="B240" s="144"/>
      <c r="C240" s="145"/>
      <c r="D240" s="2"/>
      <c r="E240" s="3"/>
      <c r="F240" s="5"/>
      <c r="G240" s="5"/>
      <c r="H240" s="5"/>
      <c r="I240" s="5"/>
      <c r="J240" s="5"/>
      <c r="K240" s="5"/>
      <c r="L240" s="5"/>
      <c r="M240" s="65"/>
      <c r="N240" s="302" t="s">
        <v>47</v>
      </c>
      <c r="O240" s="293"/>
      <c r="P240" s="301"/>
    </row>
    <row r="241" spans="2:16" ht="14.25" customHeight="1" x14ac:dyDescent="0.3">
      <c r="B241" s="146" t="s">
        <v>156</v>
      </c>
      <c r="C241" s="147"/>
      <c r="D241" s="147"/>
      <c r="E241" s="148"/>
      <c r="F241" s="5"/>
      <c r="G241" s="5"/>
      <c r="H241" s="5"/>
      <c r="I241" s="5"/>
      <c r="J241" s="5"/>
      <c r="K241" s="5"/>
      <c r="L241" s="5"/>
      <c r="M241" s="65"/>
      <c r="N241" s="302" t="s">
        <v>6</v>
      </c>
      <c r="O241" s="293"/>
      <c r="P241" s="301"/>
    </row>
    <row r="242" spans="2:16" ht="14.25" customHeight="1" x14ac:dyDescent="0.3">
      <c r="B242" s="146"/>
      <c r="C242" s="147"/>
      <c r="D242" s="147">
        <v>320000</v>
      </c>
      <c r="E242" s="149" t="s">
        <v>157</v>
      </c>
      <c r="F242" s="70"/>
      <c r="G242" s="70"/>
      <c r="H242" s="5"/>
      <c r="I242" s="5"/>
      <c r="J242" s="5"/>
      <c r="K242" s="5"/>
      <c r="L242" s="5"/>
      <c r="M242" s="65"/>
      <c r="N242" s="5"/>
      <c r="O242" s="5"/>
      <c r="P242" s="6"/>
    </row>
    <row r="243" spans="2:16" ht="14.25" customHeight="1" x14ac:dyDescent="0.3">
      <c r="B243" s="150" t="s">
        <v>158</v>
      </c>
      <c r="C243" s="151"/>
      <c r="D243" s="151"/>
      <c r="E243" s="152"/>
      <c r="F243" s="70"/>
      <c r="G243" s="70"/>
      <c r="H243" s="5"/>
      <c r="I243" s="5"/>
      <c r="J243" s="5"/>
      <c r="K243" s="5"/>
      <c r="L243" s="5"/>
      <c r="M243" s="65"/>
      <c r="N243" s="303" t="s">
        <v>15</v>
      </c>
      <c r="O243" s="293"/>
      <c r="P243" s="301"/>
    </row>
    <row r="244" spans="2:16" ht="14.25" customHeight="1" x14ac:dyDescent="0.3">
      <c r="B244" s="150"/>
      <c r="C244" s="151"/>
      <c r="D244" s="151">
        <v>92456</v>
      </c>
      <c r="E244" s="152" t="s">
        <v>157</v>
      </c>
      <c r="F244" s="70"/>
      <c r="G244" s="70"/>
      <c r="H244" s="5"/>
      <c r="I244" s="5"/>
      <c r="J244" s="5"/>
      <c r="K244" s="5"/>
      <c r="L244" s="5"/>
      <c r="M244" s="65"/>
      <c r="N244" s="5"/>
      <c r="O244" s="5"/>
      <c r="P244" s="6"/>
    </row>
    <row r="245" spans="2:16" ht="14.25" customHeight="1" x14ac:dyDescent="0.3">
      <c r="B245" s="153" t="s">
        <v>159</v>
      </c>
      <c r="C245" s="14"/>
      <c r="D245" s="154">
        <f>(D244/D242)*100</f>
        <v>28.892499999999998</v>
      </c>
      <c r="E245" s="155" t="s">
        <v>160</v>
      </c>
      <c r="F245" s="5"/>
      <c r="G245" s="5"/>
      <c r="H245" s="5"/>
      <c r="I245" s="5"/>
      <c r="J245" s="5"/>
      <c r="K245" s="5"/>
      <c r="L245" s="5"/>
      <c r="M245" s="65"/>
      <c r="N245" s="304" t="s">
        <v>33</v>
      </c>
      <c r="O245" s="293"/>
      <c r="P245" s="301"/>
    </row>
    <row r="246" spans="2:16" ht="14.25" customHeight="1" x14ac:dyDescent="0.3">
      <c r="B246" s="156" t="s">
        <v>161</v>
      </c>
      <c r="C246" s="157"/>
      <c r="D246" s="157"/>
      <c r="E246" s="158"/>
      <c r="F246" s="5"/>
      <c r="G246" s="5"/>
      <c r="H246" s="5"/>
      <c r="I246" s="5"/>
      <c r="J246" s="5"/>
      <c r="K246" s="5"/>
      <c r="L246" s="5"/>
      <c r="M246" s="65"/>
      <c r="N246" s="5"/>
      <c r="O246" s="5"/>
      <c r="P246" s="6"/>
    </row>
    <row r="247" spans="2:16" ht="14.25" customHeight="1" x14ac:dyDescent="0.3">
      <c r="B247" s="156"/>
      <c r="C247" s="157"/>
      <c r="D247" s="157">
        <v>80000</v>
      </c>
      <c r="E247" s="158" t="s">
        <v>157</v>
      </c>
      <c r="F247" s="5"/>
      <c r="G247" s="5"/>
      <c r="H247" s="5"/>
      <c r="I247" s="5"/>
      <c r="J247" s="5"/>
      <c r="K247" s="5"/>
      <c r="L247" s="5"/>
      <c r="M247" s="65"/>
      <c r="N247" s="304" t="s">
        <v>38</v>
      </c>
      <c r="O247" s="293"/>
      <c r="P247" s="301"/>
    </row>
    <row r="248" spans="2:16" ht="14.25" customHeight="1" x14ac:dyDescent="0.3">
      <c r="B248" s="153" t="s">
        <v>162</v>
      </c>
      <c r="C248" s="14"/>
      <c r="D248" s="14"/>
      <c r="E248" s="155"/>
      <c r="F248" s="5"/>
      <c r="G248" s="5"/>
      <c r="H248" s="5"/>
      <c r="I248" s="5"/>
      <c r="J248" s="5"/>
      <c r="K248" s="5"/>
      <c r="L248" s="5"/>
      <c r="M248" s="65"/>
      <c r="N248" s="5"/>
      <c r="O248" s="5"/>
      <c r="P248" s="6"/>
    </row>
    <row r="249" spans="2:16" ht="14.25" customHeight="1" x14ac:dyDescent="0.3">
      <c r="B249" s="153"/>
      <c r="C249" s="14"/>
      <c r="D249" s="14">
        <f>(D244/D247)*100</f>
        <v>115.57</v>
      </c>
      <c r="E249" s="155" t="s">
        <v>160</v>
      </c>
      <c r="F249" s="5"/>
      <c r="G249" s="5"/>
      <c r="H249" s="5"/>
      <c r="I249" s="5"/>
      <c r="J249" s="5"/>
      <c r="K249" s="5"/>
      <c r="L249" s="5"/>
      <c r="M249" s="65"/>
      <c r="N249" s="304" t="s">
        <v>62</v>
      </c>
      <c r="O249" s="293"/>
      <c r="P249" s="301"/>
    </row>
    <row r="250" spans="2:16" ht="14.25" customHeight="1" x14ac:dyDescent="0.3">
      <c r="B250" s="150" t="s">
        <v>163</v>
      </c>
      <c r="C250" s="151"/>
      <c r="D250" s="151"/>
      <c r="E250" s="159"/>
      <c r="F250" s="5"/>
      <c r="G250" s="5"/>
      <c r="H250" s="5"/>
      <c r="I250" s="5"/>
      <c r="J250" s="5"/>
      <c r="K250" s="5"/>
      <c r="L250" s="5"/>
      <c r="M250" s="65"/>
      <c r="N250" s="5"/>
      <c r="O250" s="5"/>
      <c r="P250" s="6"/>
    </row>
    <row r="251" spans="2:16" ht="14.25" customHeight="1" x14ac:dyDescent="0.3">
      <c r="B251" s="150"/>
      <c r="C251" s="151"/>
      <c r="D251" s="160">
        <v>30000</v>
      </c>
      <c r="E251" s="152" t="s">
        <v>157</v>
      </c>
      <c r="F251" s="5"/>
      <c r="G251" s="5"/>
      <c r="H251" s="5"/>
      <c r="I251" s="5"/>
      <c r="J251" s="5"/>
      <c r="K251" s="5"/>
      <c r="L251" s="5"/>
      <c r="M251" s="65"/>
      <c r="N251" s="304" t="s">
        <v>37</v>
      </c>
      <c r="O251" s="293"/>
      <c r="P251" s="301"/>
    </row>
    <row r="252" spans="2:16" ht="14.25" customHeight="1" x14ac:dyDescent="0.3">
      <c r="B252" s="146" t="s">
        <v>164</v>
      </c>
      <c r="C252" s="147"/>
      <c r="D252" s="147"/>
      <c r="E252" s="161"/>
      <c r="F252" s="5"/>
      <c r="G252" s="5"/>
      <c r="H252" s="5"/>
      <c r="I252" s="5"/>
      <c r="J252" s="5"/>
      <c r="K252" s="5"/>
      <c r="L252" s="5"/>
      <c r="M252" s="65"/>
      <c r="N252" s="5"/>
      <c r="O252" s="5"/>
      <c r="P252" s="6"/>
    </row>
    <row r="253" spans="2:16" ht="14.25" customHeight="1" x14ac:dyDescent="0.3">
      <c r="B253" s="146"/>
      <c r="C253" s="147"/>
      <c r="D253" s="147">
        <v>7182</v>
      </c>
      <c r="E253" s="149" t="s">
        <v>157</v>
      </c>
      <c r="F253" s="5"/>
      <c r="G253" s="5"/>
      <c r="H253" s="5"/>
      <c r="I253" s="5"/>
      <c r="J253" s="5"/>
      <c r="K253" s="5"/>
      <c r="L253" s="5"/>
      <c r="M253" s="65"/>
      <c r="N253" s="5"/>
      <c r="O253" s="5"/>
      <c r="P253" s="6"/>
    </row>
    <row r="254" spans="2:16" ht="14.25" customHeight="1" x14ac:dyDescent="0.3">
      <c r="B254" s="150" t="s">
        <v>165</v>
      </c>
      <c r="C254" s="151"/>
      <c r="D254" s="151"/>
      <c r="E254" s="159"/>
      <c r="F254" s="5"/>
      <c r="G254" s="5"/>
      <c r="H254" s="5"/>
      <c r="I254" s="5"/>
      <c r="J254" s="5"/>
      <c r="K254" s="5"/>
      <c r="L254" s="5"/>
      <c r="M254" s="65"/>
      <c r="N254" s="5"/>
      <c r="O254" s="5"/>
      <c r="P254" s="6"/>
    </row>
    <row r="255" spans="2:16" ht="14.25" customHeight="1" x14ac:dyDescent="0.3">
      <c r="B255" s="150"/>
      <c r="C255" s="151"/>
      <c r="D255" s="162">
        <f>(30000/31)*6</f>
        <v>5806.4516129032254</v>
      </c>
      <c r="E255" s="159"/>
      <c r="F255" s="5"/>
      <c r="G255" s="5"/>
      <c r="H255" s="5"/>
      <c r="I255" s="5"/>
      <c r="J255" s="5"/>
      <c r="K255" s="5"/>
      <c r="L255" s="5"/>
      <c r="M255" s="65"/>
      <c r="N255" s="5"/>
      <c r="O255" s="5"/>
      <c r="P255" s="6"/>
    </row>
    <row r="256" spans="2:16" ht="14.25" customHeight="1" x14ac:dyDescent="0.3">
      <c r="B256" s="153" t="s">
        <v>166</v>
      </c>
      <c r="C256" s="14"/>
      <c r="D256" s="14"/>
      <c r="E256" s="155"/>
      <c r="F256" s="5"/>
      <c r="G256" s="5"/>
      <c r="H256" s="5"/>
      <c r="I256" s="5"/>
      <c r="J256" s="5"/>
      <c r="K256" s="5"/>
      <c r="L256" s="5"/>
      <c r="M256" s="65"/>
      <c r="N256" s="5"/>
      <c r="O256" s="5"/>
      <c r="P256" s="6"/>
    </row>
    <row r="257" spans="2:16" ht="14.25" customHeight="1" x14ac:dyDescent="0.3">
      <c r="B257" s="153"/>
      <c r="C257" s="14"/>
      <c r="D257" s="14">
        <f>D253/D251%</f>
        <v>23.94</v>
      </c>
      <c r="E257" s="155" t="s">
        <v>160</v>
      </c>
      <c r="F257" s="5"/>
      <c r="G257" s="5"/>
      <c r="H257" s="5"/>
      <c r="I257" s="5"/>
      <c r="J257" s="5"/>
      <c r="K257" s="5"/>
      <c r="L257" s="5"/>
      <c r="M257" s="65"/>
      <c r="N257" s="5"/>
      <c r="O257" s="81" t="s">
        <v>78</v>
      </c>
      <c r="P257" s="6"/>
    </row>
    <row r="258" spans="2:16" ht="14.25" customHeight="1" x14ac:dyDescent="0.3">
      <c r="B258" s="163" t="s">
        <v>167</v>
      </c>
      <c r="C258" s="164"/>
      <c r="D258" s="164"/>
      <c r="E258" s="165"/>
      <c r="F258" s="5"/>
      <c r="G258" s="5"/>
      <c r="H258" s="5"/>
      <c r="I258" s="5"/>
      <c r="J258" s="5"/>
      <c r="K258" s="5"/>
      <c r="L258" s="5"/>
      <c r="M258" s="65"/>
      <c r="N258" s="5"/>
      <c r="O258" s="5"/>
      <c r="P258" s="6"/>
    </row>
    <row r="259" spans="2:16" ht="14.25" customHeight="1" x14ac:dyDescent="0.3">
      <c r="B259" s="166"/>
      <c r="C259" s="167"/>
      <c r="D259" s="167">
        <f>D253/D255%</f>
        <v>123.69</v>
      </c>
      <c r="E259" s="168" t="s">
        <v>160</v>
      </c>
      <c r="F259" s="8"/>
      <c r="G259" s="8"/>
      <c r="H259" s="8"/>
      <c r="I259" s="8"/>
      <c r="J259" s="8"/>
      <c r="K259" s="8"/>
      <c r="L259" s="8"/>
      <c r="M259" s="141"/>
      <c r="N259" s="8"/>
      <c r="O259" s="8"/>
      <c r="P259" s="9"/>
    </row>
    <row r="260" spans="2:16" ht="14.25" customHeight="1" x14ac:dyDescent="0.3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2:16" ht="14.25" customHeight="1" x14ac:dyDescent="0.3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2:16" ht="14.25" customHeight="1" x14ac:dyDescent="0.3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2:16" ht="14.25" customHeight="1" x14ac:dyDescent="0.3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2:16" ht="14.25" customHeight="1" x14ac:dyDescent="0.3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3"/>
    </row>
    <row r="265" spans="2:16" ht="14.25" customHeight="1" x14ac:dyDescent="0.35">
      <c r="B265" s="300" t="s">
        <v>0</v>
      </c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293"/>
      <c r="P265" s="301"/>
    </row>
    <row r="266" spans="2:16" ht="14.25" customHeight="1" x14ac:dyDescent="0.3">
      <c r="B266" s="305" t="s">
        <v>5</v>
      </c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293"/>
      <c r="P266" s="301"/>
    </row>
    <row r="267" spans="2:16" ht="24" customHeight="1" x14ac:dyDescent="0.45">
      <c r="B267" s="306" t="s">
        <v>168</v>
      </c>
      <c r="C267" s="293"/>
      <c r="D267" s="293"/>
      <c r="E267" s="293"/>
      <c r="F267" s="293"/>
      <c r="G267" s="293"/>
      <c r="H267" s="293"/>
      <c r="I267" s="293"/>
      <c r="J267" s="293"/>
      <c r="K267" s="293"/>
      <c r="L267" s="293"/>
      <c r="M267" s="293"/>
      <c r="N267" s="293"/>
      <c r="O267" s="293"/>
      <c r="P267" s="301"/>
    </row>
    <row r="268" spans="2:16" ht="14.25" customHeight="1" x14ac:dyDescent="0.3">
      <c r="B268" s="329" t="s">
        <v>169</v>
      </c>
      <c r="C268" s="323"/>
      <c r="D268" s="323"/>
      <c r="E268" s="324"/>
      <c r="F268" s="77"/>
      <c r="G268" s="5"/>
      <c r="H268" s="58">
        <v>45479</v>
      </c>
      <c r="I268" s="5"/>
      <c r="J268" s="5"/>
      <c r="K268" s="5"/>
      <c r="L268" s="5" t="s">
        <v>41</v>
      </c>
      <c r="M268" s="5"/>
      <c r="N268" s="11"/>
      <c r="O268" s="5"/>
      <c r="P268" s="6"/>
    </row>
    <row r="269" spans="2:16" ht="14.25" customHeight="1" x14ac:dyDescent="0.3">
      <c r="B269" s="124" t="s">
        <v>42</v>
      </c>
      <c r="C269" s="125" t="s">
        <v>43</v>
      </c>
      <c r="D269" s="126" t="s">
        <v>12</v>
      </c>
      <c r="E269" s="128" t="s">
        <v>44</v>
      </c>
      <c r="F269" s="119"/>
      <c r="G269" s="119"/>
      <c r="H269" s="119"/>
      <c r="I269" s="119"/>
      <c r="J269" s="119"/>
      <c r="K269" s="119"/>
      <c r="L269" s="119"/>
      <c r="M269" s="120"/>
      <c r="N269" s="5"/>
      <c r="O269" s="5"/>
      <c r="P269" s="6"/>
    </row>
    <row r="270" spans="2:16" ht="14.25" customHeight="1" x14ac:dyDescent="0.3">
      <c r="B270" s="313"/>
      <c r="C270" s="293"/>
      <c r="D270" s="293"/>
      <c r="E270" s="301"/>
      <c r="F270" s="384" t="s">
        <v>170</v>
      </c>
      <c r="G270" s="293"/>
      <c r="H270" s="293"/>
      <c r="I270" s="293"/>
      <c r="J270" s="293"/>
      <c r="K270" s="293"/>
      <c r="L270" s="293"/>
      <c r="M270" s="334"/>
      <c r="N270" s="302" t="s">
        <v>47</v>
      </c>
      <c r="O270" s="293"/>
      <c r="P270" s="301"/>
    </row>
    <row r="271" spans="2:16" ht="14.25" customHeight="1" x14ac:dyDescent="0.3">
      <c r="B271" s="305" t="s">
        <v>171</v>
      </c>
      <c r="C271" s="293"/>
      <c r="D271" s="293"/>
      <c r="E271" s="294"/>
      <c r="F271" s="385" t="s">
        <v>172</v>
      </c>
      <c r="G271" s="385" t="s">
        <v>173</v>
      </c>
      <c r="H271" s="385" t="s">
        <v>174</v>
      </c>
      <c r="I271" s="387" t="s">
        <v>175</v>
      </c>
      <c r="J271" s="388" t="s">
        <v>176</v>
      </c>
      <c r="K271" s="315"/>
      <c r="L271" s="309"/>
      <c r="M271" s="387" t="s">
        <v>177</v>
      </c>
      <c r="N271" s="302" t="s">
        <v>6</v>
      </c>
      <c r="O271" s="293"/>
      <c r="P271" s="301"/>
    </row>
    <row r="272" spans="2:16" ht="14.25" customHeight="1" x14ac:dyDescent="0.3">
      <c r="B272" s="305" t="s">
        <v>172</v>
      </c>
      <c r="C272" s="294"/>
      <c r="D272" s="5" t="s">
        <v>173</v>
      </c>
      <c r="E272" s="70" t="s">
        <v>174</v>
      </c>
      <c r="F272" s="386"/>
      <c r="G272" s="386"/>
      <c r="H272" s="386"/>
      <c r="I272" s="386"/>
      <c r="J272" s="169" t="s">
        <v>178</v>
      </c>
      <c r="K272" s="388" t="s">
        <v>179</v>
      </c>
      <c r="L272" s="309"/>
      <c r="M272" s="386"/>
      <c r="N272" s="5"/>
      <c r="O272" s="5"/>
      <c r="P272" s="6"/>
    </row>
    <row r="273" spans="2:16" ht="14.25" customHeight="1" x14ac:dyDescent="0.3">
      <c r="B273" s="4" t="s">
        <v>180</v>
      </c>
      <c r="C273" s="5"/>
      <c r="D273" s="5" t="s">
        <v>181</v>
      </c>
      <c r="E273" s="70">
        <v>1.25</v>
      </c>
      <c r="F273" s="122" t="s">
        <v>182</v>
      </c>
      <c r="G273" s="170" t="s">
        <v>157</v>
      </c>
      <c r="H273" s="171">
        <v>300</v>
      </c>
      <c r="I273" s="171"/>
      <c r="J273" s="86"/>
      <c r="K273" s="352"/>
      <c r="L273" s="309"/>
      <c r="M273" s="86"/>
      <c r="N273" s="303" t="s">
        <v>15</v>
      </c>
      <c r="O273" s="293"/>
      <c r="P273" s="301"/>
    </row>
    <row r="274" spans="2:16" ht="14.25" customHeight="1" x14ac:dyDescent="0.3">
      <c r="B274" s="4" t="s">
        <v>183</v>
      </c>
      <c r="C274" s="5"/>
      <c r="D274" s="5" t="s">
        <v>184</v>
      </c>
      <c r="E274" s="70">
        <v>25</v>
      </c>
      <c r="F274" s="122" t="s">
        <v>185</v>
      </c>
      <c r="G274" s="122" t="s">
        <v>184</v>
      </c>
      <c r="H274" s="86">
        <v>1</v>
      </c>
      <c r="I274" s="86"/>
      <c r="J274" s="86"/>
      <c r="K274" s="352"/>
      <c r="L274" s="309"/>
      <c r="M274" s="86"/>
      <c r="N274" s="5"/>
      <c r="O274" s="5"/>
      <c r="P274" s="6"/>
    </row>
    <row r="275" spans="2:16" ht="14.25" customHeight="1" x14ac:dyDescent="0.3">
      <c r="B275" s="4"/>
      <c r="C275" s="5"/>
      <c r="D275" s="5"/>
      <c r="E275" s="5"/>
      <c r="F275" s="86"/>
      <c r="G275" s="86"/>
      <c r="H275" s="86"/>
      <c r="I275" s="86"/>
      <c r="J275" s="86"/>
      <c r="K275" s="352"/>
      <c r="L275" s="309"/>
      <c r="M275" s="86"/>
      <c r="N275" s="304"/>
      <c r="O275" s="293"/>
      <c r="P275" s="301"/>
    </row>
    <row r="276" spans="2:16" ht="14.25" customHeight="1" x14ac:dyDescent="0.3">
      <c r="B276" s="4"/>
      <c r="C276" s="5"/>
      <c r="D276" s="5"/>
      <c r="E276" s="5"/>
      <c r="F276" s="86"/>
      <c r="G276" s="172"/>
      <c r="H276" s="86"/>
      <c r="I276" s="86"/>
      <c r="J276" s="86"/>
      <c r="K276" s="352"/>
      <c r="L276" s="309"/>
      <c r="M276" s="86"/>
      <c r="N276" s="5"/>
      <c r="O276" s="5"/>
      <c r="P276" s="6"/>
    </row>
    <row r="277" spans="2:16" ht="14.25" customHeight="1" x14ac:dyDescent="0.3">
      <c r="B277" s="4"/>
      <c r="C277" s="5"/>
      <c r="D277" s="5"/>
      <c r="E277" s="5"/>
      <c r="F277" s="86"/>
      <c r="G277" s="86"/>
      <c r="H277" s="86"/>
      <c r="I277" s="86"/>
      <c r="J277" s="86"/>
      <c r="K277" s="352"/>
      <c r="L277" s="309"/>
      <c r="M277" s="86"/>
      <c r="N277" s="304" t="s">
        <v>38</v>
      </c>
      <c r="O277" s="293"/>
      <c r="P277" s="301"/>
    </row>
    <row r="278" spans="2:16" ht="14.25" customHeight="1" x14ac:dyDescent="0.3">
      <c r="B278" s="4"/>
      <c r="C278" s="5"/>
      <c r="D278" s="5"/>
      <c r="E278" s="6"/>
      <c r="F278" s="5"/>
      <c r="G278" s="5"/>
      <c r="H278" s="5"/>
      <c r="I278" s="5"/>
      <c r="J278" s="5"/>
      <c r="K278" s="5"/>
      <c r="L278" s="5"/>
      <c r="M278" s="65"/>
      <c r="N278" s="5"/>
      <c r="O278" s="5"/>
      <c r="P278" s="6"/>
    </row>
    <row r="279" spans="2:16" ht="14.25" customHeight="1" x14ac:dyDescent="0.3">
      <c r="B279" s="4"/>
      <c r="C279" s="5"/>
      <c r="D279" s="5"/>
      <c r="E279" s="6"/>
      <c r="F279" s="5"/>
      <c r="G279" s="5"/>
      <c r="H279" s="5"/>
      <c r="I279" s="5"/>
      <c r="J279" s="5"/>
      <c r="K279" s="5"/>
      <c r="L279" s="5"/>
      <c r="M279" s="65"/>
      <c r="N279" s="304" t="s">
        <v>62</v>
      </c>
      <c r="O279" s="293"/>
      <c r="P279" s="301"/>
    </row>
    <row r="280" spans="2:16" ht="14.25" customHeight="1" x14ac:dyDescent="0.3">
      <c r="B280" s="4"/>
      <c r="C280" s="5"/>
      <c r="D280" s="5"/>
      <c r="E280" s="6"/>
      <c r="F280" s="5"/>
      <c r="G280" s="5"/>
      <c r="H280" s="5"/>
      <c r="I280" s="5"/>
      <c r="J280" s="5"/>
      <c r="K280" s="5"/>
      <c r="L280" s="5"/>
      <c r="M280" s="65"/>
      <c r="N280" s="5"/>
      <c r="O280" s="5"/>
      <c r="P280" s="6"/>
    </row>
    <row r="281" spans="2:16" ht="14.25" customHeight="1" x14ac:dyDescent="0.3">
      <c r="B281" s="4"/>
      <c r="C281" s="5"/>
      <c r="D281" s="5"/>
      <c r="E281" s="6"/>
      <c r="F281" s="5"/>
      <c r="G281" s="5"/>
      <c r="H281" s="5"/>
      <c r="I281" s="5"/>
      <c r="J281" s="5"/>
      <c r="K281" s="5"/>
      <c r="L281" s="5"/>
      <c r="M281" s="65"/>
      <c r="N281" s="304" t="s">
        <v>37</v>
      </c>
      <c r="O281" s="293"/>
      <c r="P281" s="301"/>
    </row>
    <row r="282" spans="2:16" ht="14.25" customHeight="1" x14ac:dyDescent="0.3">
      <c r="B282" s="4"/>
      <c r="C282" s="5"/>
      <c r="D282" s="5"/>
      <c r="E282" s="6"/>
      <c r="F282" s="5"/>
      <c r="G282" s="5"/>
      <c r="H282" s="5"/>
      <c r="I282" s="5"/>
      <c r="J282" s="5"/>
      <c r="K282" s="5"/>
      <c r="L282" s="5"/>
      <c r="M282" s="65"/>
      <c r="N282" s="5"/>
      <c r="O282" s="5"/>
      <c r="P282" s="6"/>
    </row>
    <row r="283" spans="2:16" ht="14.25" customHeight="1" x14ac:dyDescent="0.3">
      <c r="B283" s="4"/>
      <c r="C283" s="5"/>
      <c r="D283" s="5"/>
      <c r="E283" s="6"/>
      <c r="F283" s="5"/>
      <c r="G283" s="5"/>
      <c r="H283" s="5"/>
      <c r="I283" s="5"/>
      <c r="J283" s="5"/>
      <c r="K283" s="5"/>
      <c r="L283" s="5"/>
      <c r="M283" s="65"/>
      <c r="N283" s="5"/>
      <c r="O283" s="5"/>
      <c r="P283" s="6"/>
    </row>
    <row r="284" spans="2:16" ht="14.25" customHeight="1" x14ac:dyDescent="0.3">
      <c r="B284" s="4"/>
      <c r="C284" s="5"/>
      <c r="D284" s="5"/>
      <c r="E284" s="6"/>
      <c r="F284" s="5"/>
      <c r="G284" s="5"/>
      <c r="H284" s="5"/>
      <c r="I284" s="5"/>
      <c r="J284" s="5"/>
      <c r="K284" s="5"/>
      <c r="L284" s="5"/>
      <c r="M284" s="65"/>
      <c r="N284" s="5"/>
      <c r="O284" s="5"/>
      <c r="P284" s="6"/>
    </row>
    <row r="285" spans="2:16" ht="14.25" customHeight="1" x14ac:dyDescent="0.3">
      <c r="B285" s="4"/>
      <c r="C285" s="5"/>
      <c r="D285" s="5"/>
      <c r="E285" s="6"/>
      <c r="F285" s="5"/>
      <c r="G285" s="173"/>
      <c r="H285" s="5"/>
      <c r="I285" s="5"/>
      <c r="J285" s="5"/>
      <c r="K285" s="5"/>
      <c r="L285" s="5"/>
      <c r="M285" s="65"/>
      <c r="N285" s="5"/>
      <c r="O285" s="5"/>
      <c r="P285" s="6"/>
    </row>
    <row r="286" spans="2:16" ht="14.25" customHeight="1" x14ac:dyDescent="0.3">
      <c r="B286" s="4"/>
      <c r="C286" s="5"/>
      <c r="D286" s="5"/>
      <c r="E286" s="6"/>
      <c r="F286" s="5"/>
      <c r="G286" s="5"/>
      <c r="H286" s="5"/>
      <c r="I286" s="5"/>
      <c r="J286" s="5"/>
      <c r="K286" s="5"/>
      <c r="L286" s="5"/>
      <c r="M286" s="65"/>
      <c r="N286" s="5"/>
      <c r="O286" s="5"/>
      <c r="P286" s="6"/>
    </row>
    <row r="287" spans="2:16" ht="14.25" customHeight="1" x14ac:dyDescent="0.3">
      <c r="B287" s="4"/>
      <c r="C287" s="5"/>
      <c r="D287" s="5"/>
      <c r="E287" s="6"/>
      <c r="F287" s="5"/>
      <c r="G287" s="5"/>
      <c r="H287" s="5"/>
      <c r="I287" s="5"/>
      <c r="J287" s="5"/>
      <c r="K287" s="5"/>
      <c r="L287" s="5"/>
      <c r="M287" s="65"/>
      <c r="N287" s="5"/>
      <c r="O287" s="81" t="s">
        <v>78</v>
      </c>
      <c r="P287" s="6"/>
    </row>
    <row r="288" spans="2:16" ht="14.25" customHeight="1" x14ac:dyDescent="0.3">
      <c r="B288" s="4"/>
      <c r="C288" s="5"/>
      <c r="D288" s="5"/>
      <c r="E288" s="6"/>
      <c r="F288" s="5"/>
      <c r="G288" s="5"/>
      <c r="H288" s="5"/>
      <c r="I288" s="5"/>
      <c r="J288" s="5"/>
      <c r="K288" s="5"/>
      <c r="L288" s="5"/>
      <c r="M288" s="65"/>
      <c r="N288" s="5"/>
      <c r="O288" s="5"/>
      <c r="P288" s="6"/>
    </row>
    <row r="289" spans="2:101" ht="14.25" customHeight="1" x14ac:dyDescent="0.3">
      <c r="B289" s="7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141"/>
      <c r="N289" s="8"/>
      <c r="O289" s="8"/>
      <c r="P289" s="9"/>
    </row>
    <row r="290" spans="2:101" ht="14.25" customHeight="1" x14ac:dyDescent="0.3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2:101" ht="14.25" customHeight="1" x14ac:dyDescent="0.3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2:101" ht="14.25" customHeight="1" x14ac:dyDescent="0.3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2:101" ht="14.25" customHeight="1" x14ac:dyDescent="0.3"/>
    <row r="294" spans="2:101" ht="14.25" customHeight="1" x14ac:dyDescent="0.3">
      <c r="CF294" s="330" t="s">
        <v>110</v>
      </c>
      <c r="CG294" s="296"/>
      <c r="CH294" s="330" t="s">
        <v>109</v>
      </c>
      <c r="CI294" s="296"/>
      <c r="CJ294" s="330" t="s">
        <v>35</v>
      </c>
      <c r="CK294" s="296"/>
      <c r="CL294" s="330" t="s">
        <v>186</v>
      </c>
      <c r="CM294" s="296"/>
      <c r="CN294" s="330" t="s">
        <v>187</v>
      </c>
      <c r="CO294" s="296"/>
      <c r="CP294" s="330" t="s">
        <v>188</v>
      </c>
      <c r="CQ294" s="296"/>
      <c r="CR294" s="330" t="s">
        <v>144</v>
      </c>
      <c r="CS294" s="296"/>
      <c r="CT294" s="330" t="s">
        <v>27</v>
      </c>
      <c r="CU294" s="296"/>
      <c r="CV294" s="330" t="s">
        <v>189</v>
      </c>
      <c r="CW294" s="296"/>
    </row>
    <row r="295" spans="2:101" ht="14.25" customHeight="1" x14ac:dyDescent="0.3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3"/>
      <c r="CF295" s="80" t="s">
        <v>136</v>
      </c>
      <c r="CG295" s="80" t="s">
        <v>137</v>
      </c>
      <c r="CH295" s="80" t="s">
        <v>136</v>
      </c>
      <c r="CI295" s="80" t="s">
        <v>137</v>
      </c>
      <c r="CJ295" s="80" t="s">
        <v>136</v>
      </c>
      <c r="CK295" s="80" t="s">
        <v>137</v>
      </c>
      <c r="CL295" s="80" t="s">
        <v>136</v>
      </c>
      <c r="CM295" s="80" t="s">
        <v>137</v>
      </c>
      <c r="CN295" s="80" t="s">
        <v>136</v>
      </c>
      <c r="CO295" s="80" t="s">
        <v>137</v>
      </c>
      <c r="CP295" s="80" t="s">
        <v>136</v>
      </c>
      <c r="CQ295" s="80" t="s">
        <v>137</v>
      </c>
      <c r="CR295" s="80" t="s">
        <v>136</v>
      </c>
      <c r="CS295" s="80" t="s">
        <v>137</v>
      </c>
      <c r="CT295" s="80" t="s">
        <v>136</v>
      </c>
      <c r="CU295" s="80" t="s">
        <v>137</v>
      </c>
      <c r="CV295" s="80" t="s">
        <v>136</v>
      </c>
      <c r="CW295" s="80" t="s">
        <v>137</v>
      </c>
    </row>
    <row r="296" spans="2:101" ht="14.25" customHeight="1" x14ac:dyDescent="0.35">
      <c r="B296" s="300" t="s">
        <v>0</v>
      </c>
      <c r="C296" s="293"/>
      <c r="D296" s="293"/>
      <c r="E296" s="293"/>
      <c r="F296" s="293"/>
      <c r="G296" s="293"/>
      <c r="H296" s="293"/>
      <c r="I296" s="293"/>
      <c r="J296" s="293"/>
      <c r="K296" s="293"/>
      <c r="L296" s="293"/>
      <c r="M296" s="293"/>
      <c r="N296" s="293"/>
      <c r="O296" s="293"/>
      <c r="P296" s="301"/>
      <c r="CE296" s="80">
        <v>1</v>
      </c>
    </row>
    <row r="297" spans="2:101" ht="14.25" customHeight="1" x14ac:dyDescent="0.3">
      <c r="B297" s="305" t="s">
        <v>5</v>
      </c>
      <c r="C297" s="293"/>
      <c r="D297" s="293"/>
      <c r="E297" s="293"/>
      <c r="F297" s="293"/>
      <c r="G297" s="293"/>
      <c r="H297" s="293"/>
      <c r="I297" s="293"/>
      <c r="J297" s="293"/>
      <c r="K297" s="293"/>
      <c r="L297" s="293"/>
      <c r="M297" s="293"/>
      <c r="N297" s="293"/>
      <c r="O297" s="293"/>
      <c r="P297" s="301"/>
      <c r="CE297" s="80">
        <v>2</v>
      </c>
    </row>
    <row r="298" spans="2:101" ht="22.2" customHeight="1" x14ac:dyDescent="0.45">
      <c r="B298" s="306" t="s">
        <v>33</v>
      </c>
      <c r="C298" s="293"/>
      <c r="D298" s="293"/>
      <c r="E298" s="293"/>
      <c r="F298" s="293"/>
      <c r="G298" s="293"/>
      <c r="H298" s="293"/>
      <c r="I298" s="293"/>
      <c r="J298" s="293"/>
      <c r="K298" s="293"/>
      <c r="L298" s="293"/>
      <c r="M298" s="293"/>
      <c r="N298" s="293"/>
      <c r="O298" s="293"/>
      <c r="P298" s="301"/>
      <c r="CE298" s="80">
        <v>3</v>
      </c>
    </row>
    <row r="299" spans="2:101" ht="14.25" customHeight="1" x14ac:dyDescent="0.3">
      <c r="B299" s="329" t="s">
        <v>190</v>
      </c>
      <c r="C299" s="323"/>
      <c r="D299" s="323"/>
      <c r="E299" s="324"/>
      <c r="F299" s="77"/>
      <c r="G299" s="5"/>
      <c r="H299" s="58">
        <v>45479</v>
      </c>
      <c r="I299" s="5"/>
      <c r="J299" s="5"/>
      <c r="K299" s="5"/>
      <c r="L299" s="5" t="s">
        <v>41</v>
      </c>
      <c r="M299" s="5"/>
      <c r="N299" s="11"/>
      <c r="O299" s="5"/>
      <c r="P299" s="6"/>
      <c r="CE299" s="80">
        <v>4</v>
      </c>
    </row>
    <row r="300" spans="2:101" ht="14.25" customHeight="1" x14ac:dyDescent="0.3">
      <c r="B300" s="124" t="s">
        <v>42</v>
      </c>
      <c r="C300" s="125" t="s">
        <v>43</v>
      </c>
      <c r="D300" s="126" t="s">
        <v>12</v>
      </c>
      <c r="E300" s="128" t="s">
        <v>44</v>
      </c>
      <c r="F300" s="119"/>
      <c r="G300" s="119"/>
      <c r="H300" s="119"/>
      <c r="I300" s="119"/>
      <c r="J300" s="119"/>
      <c r="K300" s="119"/>
      <c r="L300" s="119"/>
      <c r="M300" s="120"/>
      <c r="N300" s="5"/>
      <c r="O300" s="5"/>
      <c r="P300" s="6"/>
      <c r="CE300" s="80">
        <v>5</v>
      </c>
    </row>
    <row r="301" spans="2:101" ht="14.25" customHeight="1" x14ac:dyDescent="0.3">
      <c r="B301" s="332" t="s">
        <v>191</v>
      </c>
      <c r="C301" s="294"/>
      <c r="D301" s="331" t="s">
        <v>192</v>
      </c>
      <c r="E301" s="301"/>
      <c r="F301" s="333" t="s">
        <v>193</v>
      </c>
      <c r="G301" s="293"/>
      <c r="H301" s="293"/>
      <c r="I301" s="293"/>
      <c r="J301" s="293"/>
      <c r="K301" s="293"/>
      <c r="L301" s="293"/>
      <c r="M301" s="334"/>
      <c r="N301" s="302" t="s">
        <v>47</v>
      </c>
      <c r="O301" s="293"/>
      <c r="P301" s="301"/>
      <c r="CE301" s="80">
        <v>6</v>
      </c>
    </row>
    <row r="302" spans="2:101" ht="14.25" customHeight="1" x14ac:dyDescent="0.3">
      <c r="B302" s="305" t="s">
        <v>194</v>
      </c>
      <c r="C302" s="293"/>
      <c r="D302" s="293"/>
      <c r="E302" s="301"/>
      <c r="F302" s="174" t="s">
        <v>18</v>
      </c>
      <c r="G302" s="174" t="s">
        <v>42</v>
      </c>
      <c r="H302" s="5" t="s">
        <v>195</v>
      </c>
      <c r="I302" s="175"/>
      <c r="J302" s="5"/>
      <c r="K302" s="5"/>
      <c r="L302" s="5"/>
      <c r="M302" s="65"/>
      <c r="N302" s="302" t="s">
        <v>6</v>
      </c>
      <c r="O302" s="293"/>
      <c r="P302" s="301"/>
      <c r="CE302" s="80">
        <v>7</v>
      </c>
    </row>
    <row r="303" spans="2:101" ht="14.25" customHeight="1" x14ac:dyDescent="0.3">
      <c r="B303" s="305" t="s">
        <v>172</v>
      </c>
      <c r="C303" s="294"/>
      <c r="D303" s="5" t="s">
        <v>173</v>
      </c>
      <c r="E303" s="135" t="s">
        <v>174</v>
      </c>
      <c r="F303" s="176" t="s">
        <v>172</v>
      </c>
      <c r="G303" s="176" t="s">
        <v>182</v>
      </c>
      <c r="H303" s="175" t="s">
        <v>196</v>
      </c>
      <c r="I303" s="175" t="s">
        <v>197</v>
      </c>
      <c r="K303" s="5"/>
      <c r="L303" s="5"/>
      <c r="M303" s="65"/>
      <c r="N303" s="5"/>
      <c r="O303" s="5"/>
      <c r="P303" s="6"/>
      <c r="CE303" s="80">
        <v>8</v>
      </c>
    </row>
    <row r="304" spans="2:101" ht="14.25" customHeight="1" x14ac:dyDescent="0.3">
      <c r="B304" s="4" t="s">
        <v>182</v>
      </c>
      <c r="C304" s="5"/>
      <c r="D304" s="5" t="s">
        <v>157</v>
      </c>
      <c r="E304" s="135">
        <v>12400</v>
      </c>
      <c r="F304" s="70" t="s">
        <v>46</v>
      </c>
      <c r="G304" s="177">
        <v>12</v>
      </c>
      <c r="H304" s="178" t="s">
        <v>125</v>
      </c>
      <c r="I304" s="178">
        <v>2.5</v>
      </c>
      <c r="J304" s="5"/>
      <c r="K304" s="5"/>
      <c r="L304" s="5"/>
      <c r="M304" s="65"/>
      <c r="N304" s="303" t="s">
        <v>15</v>
      </c>
      <c r="O304" s="293"/>
      <c r="P304" s="301"/>
      <c r="CE304" s="80">
        <v>9</v>
      </c>
    </row>
    <row r="305" spans="2:83" ht="14.25" customHeight="1" x14ac:dyDescent="0.3">
      <c r="B305" s="4" t="s">
        <v>180</v>
      </c>
      <c r="C305" s="5"/>
      <c r="D305" s="5" t="s">
        <v>181</v>
      </c>
      <c r="E305" s="135">
        <v>62</v>
      </c>
      <c r="F305" s="70" t="s">
        <v>198</v>
      </c>
      <c r="G305" s="70" t="s">
        <v>199</v>
      </c>
      <c r="H305" s="5"/>
      <c r="I305" s="5"/>
      <c r="J305" s="5"/>
      <c r="K305" s="5"/>
      <c r="L305" s="5"/>
      <c r="M305" s="65"/>
      <c r="N305" s="5"/>
      <c r="O305" s="5"/>
      <c r="P305" s="6"/>
      <c r="CE305" s="80">
        <v>10</v>
      </c>
    </row>
    <row r="306" spans="2:83" ht="14.25" customHeight="1" x14ac:dyDescent="0.3">
      <c r="B306" s="4" t="s">
        <v>200</v>
      </c>
      <c r="C306" s="5"/>
      <c r="D306" s="5" t="s">
        <v>157</v>
      </c>
      <c r="E306" s="6">
        <v>6200</v>
      </c>
      <c r="F306" s="5"/>
      <c r="G306" s="5"/>
      <c r="H306" s="5"/>
      <c r="I306" s="5"/>
      <c r="J306" s="5"/>
      <c r="K306" s="5"/>
      <c r="L306" s="5"/>
      <c r="M306" s="65"/>
      <c r="N306" s="304"/>
      <c r="O306" s="293"/>
      <c r="P306" s="301"/>
      <c r="CE306" s="80">
        <v>11</v>
      </c>
    </row>
    <row r="307" spans="2:83" ht="14.25" customHeight="1" x14ac:dyDescent="0.3">
      <c r="B307" s="4" t="s">
        <v>201</v>
      </c>
      <c r="C307" s="5"/>
      <c r="D307" s="5" t="s">
        <v>184</v>
      </c>
      <c r="E307" s="6">
        <v>4</v>
      </c>
      <c r="F307" s="5"/>
      <c r="G307" s="179" t="s">
        <v>202</v>
      </c>
      <c r="H307" s="2"/>
      <c r="I307" s="2"/>
      <c r="J307" s="2"/>
      <c r="K307" s="2"/>
      <c r="L307" s="3"/>
      <c r="M307" s="65"/>
      <c r="N307" s="5"/>
      <c r="O307" s="5"/>
      <c r="P307" s="6"/>
      <c r="CE307" s="80">
        <v>12</v>
      </c>
    </row>
    <row r="308" spans="2:83" ht="14.25" customHeight="1" x14ac:dyDescent="0.3">
      <c r="B308" s="4" t="s">
        <v>203</v>
      </c>
      <c r="C308" s="5"/>
      <c r="D308" s="5" t="s">
        <v>181</v>
      </c>
      <c r="E308" s="6">
        <v>360</v>
      </c>
      <c r="F308" s="5"/>
      <c r="G308" s="4"/>
      <c r="H308" s="5"/>
      <c r="I308" s="5"/>
      <c r="J308" s="5"/>
      <c r="K308" s="5"/>
      <c r="L308" s="6"/>
      <c r="M308" s="65"/>
      <c r="N308" s="304" t="s">
        <v>38</v>
      </c>
      <c r="O308" s="293"/>
      <c r="P308" s="301"/>
      <c r="CE308" s="80">
        <v>13</v>
      </c>
    </row>
    <row r="309" spans="2:83" ht="14.25" customHeight="1" x14ac:dyDescent="0.3">
      <c r="B309" s="4" t="s">
        <v>204</v>
      </c>
      <c r="C309" s="5"/>
      <c r="D309" s="5" t="s">
        <v>181</v>
      </c>
      <c r="E309" s="6">
        <v>25</v>
      </c>
      <c r="F309" s="5"/>
      <c r="G309" s="4"/>
      <c r="H309" s="5"/>
      <c r="I309" s="5"/>
      <c r="J309" s="5"/>
      <c r="K309" s="5"/>
      <c r="L309" s="6"/>
      <c r="M309" s="65"/>
      <c r="N309" s="5"/>
      <c r="O309" s="5"/>
      <c r="P309" s="6"/>
      <c r="CE309" s="80">
        <v>14</v>
      </c>
    </row>
    <row r="310" spans="2:83" ht="14.25" customHeight="1" x14ac:dyDescent="0.3">
      <c r="B310" s="4" t="s">
        <v>185</v>
      </c>
      <c r="C310" s="5"/>
      <c r="D310" s="5" t="s">
        <v>184</v>
      </c>
      <c r="E310" s="6">
        <v>7</v>
      </c>
      <c r="F310" s="5"/>
      <c r="G310" s="4"/>
      <c r="H310" s="5"/>
      <c r="I310" s="5"/>
      <c r="J310" s="5"/>
      <c r="K310" s="5"/>
      <c r="L310" s="6"/>
      <c r="M310" s="65"/>
      <c r="N310" s="304" t="s">
        <v>62</v>
      </c>
      <c r="O310" s="293"/>
      <c r="P310" s="301"/>
      <c r="CE310" s="80">
        <v>15</v>
      </c>
    </row>
    <row r="311" spans="2:83" ht="14.25" customHeight="1" x14ac:dyDescent="0.3">
      <c r="B311" s="4" t="s">
        <v>205</v>
      </c>
      <c r="C311" s="5"/>
      <c r="D311" s="5" t="s">
        <v>184</v>
      </c>
      <c r="E311" s="6">
        <v>1</v>
      </c>
      <c r="F311" s="5"/>
      <c r="G311" s="4"/>
      <c r="H311" s="5"/>
      <c r="I311" s="5"/>
      <c r="J311" s="5"/>
      <c r="K311" s="5"/>
      <c r="L311" s="6"/>
      <c r="M311" s="65"/>
      <c r="N311" s="5"/>
      <c r="O311" s="5"/>
      <c r="P311" s="6"/>
      <c r="CE311" s="80">
        <v>16</v>
      </c>
    </row>
    <row r="312" spans="2:83" ht="14.25" customHeight="1" x14ac:dyDescent="0.3">
      <c r="B312" s="4" t="s">
        <v>206</v>
      </c>
      <c r="C312" s="5"/>
      <c r="D312" s="5" t="s">
        <v>207</v>
      </c>
      <c r="E312" s="6">
        <v>61</v>
      </c>
      <c r="F312" s="5"/>
      <c r="G312" s="7"/>
      <c r="H312" s="8"/>
      <c r="I312" s="8"/>
      <c r="J312" s="8"/>
      <c r="K312" s="8"/>
      <c r="L312" s="9"/>
      <c r="M312" s="65"/>
      <c r="N312" s="304" t="s">
        <v>37</v>
      </c>
      <c r="O312" s="293"/>
      <c r="P312" s="301"/>
      <c r="CE312" s="80">
        <v>17</v>
      </c>
    </row>
    <row r="313" spans="2:83" ht="14.25" customHeight="1" x14ac:dyDescent="0.3">
      <c r="B313" s="4" t="s">
        <v>208</v>
      </c>
      <c r="C313" s="5"/>
      <c r="D313" s="5" t="s">
        <v>184</v>
      </c>
      <c r="E313" s="6">
        <v>5</v>
      </c>
      <c r="F313" s="5"/>
      <c r="G313" s="5"/>
      <c r="H313" s="5"/>
      <c r="I313" s="5"/>
      <c r="J313" s="5"/>
      <c r="K313" s="5"/>
      <c r="L313" s="5"/>
      <c r="M313" s="65"/>
      <c r="N313" s="5"/>
      <c r="O313" s="5"/>
      <c r="P313" s="6"/>
      <c r="CE313" s="80">
        <v>18</v>
      </c>
    </row>
    <row r="314" spans="2:83" ht="14.25" customHeight="1" x14ac:dyDescent="0.3">
      <c r="B314" s="4" t="s">
        <v>209</v>
      </c>
      <c r="C314" s="5"/>
      <c r="D314" s="5" t="s">
        <v>184</v>
      </c>
      <c r="E314" s="6">
        <v>100</v>
      </c>
      <c r="F314" s="5"/>
      <c r="G314" s="5"/>
      <c r="H314" s="5"/>
      <c r="I314" s="5"/>
      <c r="J314" s="5"/>
      <c r="K314" s="5"/>
      <c r="L314" s="5"/>
      <c r="M314" s="65"/>
      <c r="N314" s="5"/>
      <c r="O314" s="5"/>
      <c r="P314" s="6"/>
      <c r="CE314" s="80">
        <v>19</v>
      </c>
    </row>
    <row r="315" spans="2:83" ht="14.25" customHeight="1" x14ac:dyDescent="0.3">
      <c r="B315" s="4" t="s">
        <v>210</v>
      </c>
      <c r="C315" s="5"/>
      <c r="D315" s="5" t="s">
        <v>184</v>
      </c>
      <c r="E315" s="6">
        <v>12</v>
      </c>
      <c r="F315" s="5"/>
      <c r="G315" s="5"/>
      <c r="H315" s="5"/>
      <c r="I315" s="5"/>
      <c r="J315" s="5"/>
      <c r="K315" s="5"/>
      <c r="L315" s="5"/>
      <c r="M315" s="65"/>
      <c r="N315" s="5"/>
      <c r="O315" s="5"/>
      <c r="P315" s="6"/>
      <c r="CE315" s="80">
        <v>20</v>
      </c>
    </row>
    <row r="316" spans="2:83" ht="14.25" customHeight="1" x14ac:dyDescent="0.3">
      <c r="B316" s="4" t="s">
        <v>211</v>
      </c>
      <c r="C316" s="5"/>
      <c r="D316" s="5" t="s">
        <v>184</v>
      </c>
      <c r="E316" s="6">
        <v>15</v>
      </c>
      <c r="F316" s="5"/>
      <c r="G316" s="180" t="s">
        <v>100</v>
      </c>
      <c r="H316" s="5"/>
      <c r="I316" s="5"/>
      <c r="J316" s="5"/>
      <c r="K316" s="5"/>
      <c r="L316" s="5"/>
      <c r="M316" s="65"/>
      <c r="N316" s="5"/>
      <c r="O316" s="5"/>
      <c r="P316" s="6"/>
      <c r="CE316" s="80">
        <v>21</v>
      </c>
    </row>
    <row r="317" spans="2:83" ht="14.25" customHeight="1" x14ac:dyDescent="0.3">
      <c r="B317" s="4" t="s">
        <v>212</v>
      </c>
      <c r="C317" s="5"/>
      <c r="D317" s="5" t="s">
        <v>184</v>
      </c>
      <c r="E317" s="6">
        <v>2</v>
      </c>
      <c r="F317" s="5"/>
      <c r="G317" s="5"/>
      <c r="H317" s="5"/>
      <c r="I317" s="5"/>
      <c r="J317" s="5"/>
      <c r="K317" s="5"/>
      <c r="L317" s="5"/>
      <c r="M317" s="65"/>
      <c r="N317" s="5"/>
      <c r="O317" s="5"/>
      <c r="P317" s="6"/>
      <c r="CE317" s="80">
        <v>22</v>
      </c>
    </row>
    <row r="318" spans="2:83" ht="14.25" customHeight="1" x14ac:dyDescent="0.3">
      <c r="B318" s="4" t="s">
        <v>213</v>
      </c>
      <c r="C318" s="5"/>
      <c r="D318" s="5" t="s">
        <v>184</v>
      </c>
      <c r="E318" s="6">
        <v>400</v>
      </c>
      <c r="F318" s="5"/>
      <c r="G318" s="5"/>
      <c r="H318" s="5"/>
      <c r="I318" s="5"/>
      <c r="J318" s="5"/>
      <c r="K318" s="5"/>
      <c r="L318" s="5"/>
      <c r="M318" s="65"/>
      <c r="N318" s="5"/>
      <c r="O318" s="81" t="s">
        <v>78</v>
      </c>
      <c r="P318" s="6"/>
      <c r="CE318" s="80">
        <v>23</v>
      </c>
    </row>
    <row r="319" spans="2:83" ht="14.25" customHeight="1" x14ac:dyDescent="0.3">
      <c r="B319" s="4" t="s">
        <v>214</v>
      </c>
      <c r="C319" s="5"/>
      <c r="D319" s="5" t="s">
        <v>215</v>
      </c>
      <c r="E319" s="6">
        <v>24</v>
      </c>
      <c r="F319" s="5"/>
      <c r="G319" s="5"/>
      <c r="H319" s="5"/>
      <c r="I319" s="5"/>
      <c r="J319" s="5"/>
      <c r="K319" s="5"/>
      <c r="L319" s="5"/>
      <c r="M319" s="65"/>
      <c r="N319" s="5"/>
      <c r="O319" s="5"/>
      <c r="P319" s="6"/>
      <c r="CE319" s="80">
        <v>24</v>
      </c>
    </row>
    <row r="320" spans="2:83" ht="14.25" customHeight="1" x14ac:dyDescent="0.3">
      <c r="B320" s="7" t="s">
        <v>216</v>
      </c>
      <c r="C320" s="8"/>
      <c r="D320" s="8" t="s">
        <v>184</v>
      </c>
      <c r="E320" s="9">
        <v>278</v>
      </c>
      <c r="F320" s="8"/>
      <c r="G320" s="8"/>
      <c r="H320" s="8"/>
      <c r="I320" s="8"/>
      <c r="J320" s="8"/>
      <c r="K320" s="8"/>
      <c r="L320" s="8"/>
      <c r="M320" s="141"/>
      <c r="N320" s="8"/>
      <c r="O320" s="8"/>
      <c r="P320" s="9"/>
      <c r="CE320" s="80">
        <v>25</v>
      </c>
    </row>
    <row r="321" spans="2:83" ht="14.25" customHeight="1" x14ac:dyDescent="0.3">
      <c r="CE321" s="80">
        <v>26</v>
      </c>
    </row>
    <row r="322" spans="2:83" ht="14.25" customHeight="1" x14ac:dyDescent="0.3">
      <c r="CE322" s="80">
        <v>27</v>
      </c>
    </row>
    <row r="323" spans="2:83" ht="14.25" customHeight="1" x14ac:dyDescent="0.3">
      <c r="CE323" s="80">
        <v>28</v>
      </c>
    </row>
    <row r="324" spans="2:83" ht="14.25" customHeight="1" x14ac:dyDescent="0.3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3"/>
      <c r="CE324" s="80">
        <v>29</v>
      </c>
    </row>
    <row r="325" spans="2:83" ht="14.25" customHeight="1" x14ac:dyDescent="0.35">
      <c r="B325" s="300" t="s">
        <v>0</v>
      </c>
      <c r="C325" s="293"/>
      <c r="D325" s="293"/>
      <c r="E325" s="293"/>
      <c r="F325" s="293"/>
      <c r="G325" s="293"/>
      <c r="H325" s="293"/>
      <c r="I325" s="293"/>
      <c r="J325" s="293"/>
      <c r="K325" s="293"/>
      <c r="L325" s="293"/>
      <c r="M325" s="293"/>
      <c r="N325" s="293"/>
      <c r="O325" s="293"/>
      <c r="P325" s="301"/>
      <c r="CE325" s="80">
        <v>30</v>
      </c>
    </row>
    <row r="326" spans="2:83" ht="14.25" customHeight="1" x14ac:dyDescent="0.3">
      <c r="B326" s="305" t="s">
        <v>5</v>
      </c>
      <c r="C326" s="293"/>
      <c r="D326" s="293"/>
      <c r="E326" s="293"/>
      <c r="F326" s="293"/>
      <c r="G326" s="293"/>
      <c r="H326" s="293"/>
      <c r="I326" s="293"/>
      <c r="J326" s="293"/>
      <c r="K326" s="293"/>
      <c r="L326" s="293"/>
      <c r="M326" s="293"/>
      <c r="N326" s="293"/>
      <c r="O326" s="293"/>
      <c r="P326" s="301"/>
      <c r="CE326" s="80">
        <v>31</v>
      </c>
    </row>
    <row r="327" spans="2:83" ht="19.8" customHeight="1" x14ac:dyDescent="0.45">
      <c r="B327" s="306" t="s">
        <v>36</v>
      </c>
      <c r="C327" s="293"/>
      <c r="D327" s="293"/>
      <c r="E327" s="293"/>
      <c r="F327" s="293"/>
      <c r="G327" s="293"/>
      <c r="H327" s="293"/>
      <c r="I327" s="293"/>
      <c r="J327" s="293"/>
      <c r="K327" s="293"/>
      <c r="L327" s="293"/>
      <c r="M327" s="293"/>
      <c r="N327" s="293"/>
      <c r="O327" s="293"/>
      <c r="P327" s="301"/>
      <c r="CE327" s="80" t="s">
        <v>111</v>
      </c>
    </row>
    <row r="328" spans="2:83" ht="14.25" customHeight="1" x14ac:dyDescent="0.3">
      <c r="B328" s="307"/>
      <c r="C328" s="294"/>
      <c r="D328" s="5"/>
      <c r="E328" s="5"/>
      <c r="F328" s="77"/>
      <c r="G328" s="5"/>
      <c r="H328" s="58">
        <v>45479</v>
      </c>
      <c r="I328" s="5"/>
      <c r="J328" s="5"/>
      <c r="K328" s="5"/>
      <c r="L328" s="5" t="s">
        <v>41</v>
      </c>
      <c r="M328" s="5"/>
      <c r="N328" s="11"/>
      <c r="O328" s="5"/>
      <c r="P328" s="6"/>
    </row>
    <row r="329" spans="2:83" ht="14.25" customHeight="1" x14ac:dyDescent="0.3">
      <c r="B329" s="124" t="s">
        <v>217</v>
      </c>
      <c r="C329" s="125" t="s">
        <v>218</v>
      </c>
      <c r="D329" s="126" t="s">
        <v>219</v>
      </c>
      <c r="E329" s="128" t="s">
        <v>220</v>
      </c>
      <c r="F329" s="119"/>
      <c r="G329" s="119"/>
      <c r="H329" s="119"/>
      <c r="I329" s="119"/>
      <c r="J329" s="119"/>
      <c r="K329" s="119"/>
      <c r="L329" s="119"/>
      <c r="M329" s="120"/>
      <c r="N329" s="5"/>
      <c r="O329" s="5"/>
      <c r="P329" s="6"/>
    </row>
    <row r="330" spans="2:83" ht="14.25" customHeight="1" x14ac:dyDescent="0.3">
      <c r="B330" s="313" t="s">
        <v>47</v>
      </c>
      <c r="C330" s="293"/>
      <c r="D330" s="293"/>
      <c r="E330" s="301"/>
      <c r="F330" s="5" t="s">
        <v>59</v>
      </c>
      <c r="G330" s="5"/>
      <c r="H330" s="5" t="s">
        <v>47</v>
      </c>
      <c r="I330" s="6"/>
      <c r="J330" s="5"/>
      <c r="K330" s="5"/>
      <c r="L330" s="5"/>
      <c r="M330" s="65"/>
      <c r="N330" s="302" t="s">
        <v>47</v>
      </c>
      <c r="O330" s="293"/>
      <c r="P330" s="301"/>
    </row>
    <row r="331" spans="2:83" ht="14.25" customHeight="1" x14ac:dyDescent="0.3">
      <c r="B331" s="321" t="s">
        <v>6</v>
      </c>
      <c r="C331" s="293"/>
      <c r="D331" s="293"/>
      <c r="E331" s="301"/>
      <c r="F331" s="5" t="s">
        <v>221</v>
      </c>
      <c r="G331" s="5"/>
      <c r="H331" s="5" t="s">
        <v>6</v>
      </c>
      <c r="I331" s="6"/>
      <c r="J331" s="5"/>
      <c r="K331" s="5"/>
      <c r="L331" s="5"/>
      <c r="M331" s="65"/>
      <c r="N331" s="302" t="s">
        <v>6</v>
      </c>
      <c r="O331" s="293"/>
      <c r="P331" s="301"/>
    </row>
    <row r="332" spans="2:83" ht="14.25" customHeight="1" x14ac:dyDescent="0.3">
      <c r="B332" s="86"/>
      <c r="C332" s="86" t="s">
        <v>222</v>
      </c>
      <c r="D332" s="86" t="s">
        <v>223</v>
      </c>
      <c r="E332" s="122" t="s">
        <v>224</v>
      </c>
      <c r="F332" s="69" t="s">
        <v>225</v>
      </c>
      <c r="G332" s="77"/>
      <c r="H332" s="69" t="s">
        <v>226</v>
      </c>
      <c r="I332" s="5"/>
      <c r="J332" s="5"/>
      <c r="K332" s="5"/>
      <c r="L332" s="5"/>
      <c r="M332" s="65"/>
      <c r="N332" s="5"/>
      <c r="O332" s="5"/>
      <c r="P332" s="6"/>
    </row>
    <row r="333" spans="2:83" ht="14.25" customHeight="1" x14ac:dyDescent="0.3">
      <c r="B333" s="86" t="s">
        <v>227</v>
      </c>
      <c r="C333" s="86"/>
      <c r="D333" s="86"/>
      <c r="E333" s="122"/>
      <c r="F333" s="69" t="s">
        <v>228</v>
      </c>
      <c r="G333" s="69"/>
      <c r="H333" s="181"/>
      <c r="I333" s="5"/>
      <c r="J333" s="5" t="s">
        <v>229</v>
      </c>
      <c r="K333" s="181"/>
      <c r="L333" s="5"/>
      <c r="M333" s="65"/>
      <c r="N333" s="303" t="s">
        <v>15</v>
      </c>
      <c r="O333" s="293"/>
      <c r="P333" s="301"/>
    </row>
    <row r="334" spans="2:83" ht="14.25" customHeight="1" x14ac:dyDescent="0.3">
      <c r="B334" s="86" t="s">
        <v>230</v>
      </c>
      <c r="C334" s="86"/>
      <c r="D334" s="86"/>
      <c r="E334" s="122"/>
      <c r="F334" s="69" t="s">
        <v>231</v>
      </c>
      <c r="G334" s="182" t="s">
        <v>232</v>
      </c>
      <c r="H334" s="183"/>
      <c r="I334" s="184" t="s">
        <v>233</v>
      </c>
      <c r="J334" s="183"/>
      <c r="K334" s="5"/>
      <c r="L334" s="5"/>
      <c r="M334" s="65"/>
      <c r="N334" s="5"/>
      <c r="O334" s="5"/>
      <c r="P334" s="6"/>
    </row>
    <row r="335" spans="2:83" ht="14.25" customHeight="1" x14ac:dyDescent="0.3">
      <c r="B335" s="86" t="s">
        <v>234</v>
      </c>
      <c r="C335" s="86"/>
      <c r="D335" s="86"/>
      <c r="E335" s="86"/>
      <c r="F335" s="5" t="s">
        <v>235</v>
      </c>
      <c r="G335" s="5"/>
      <c r="H335" s="1"/>
      <c r="I335" s="2"/>
      <c r="J335" s="2"/>
      <c r="K335" s="2"/>
      <c r="L335" s="3"/>
      <c r="M335" s="65"/>
      <c r="N335" s="304" t="s">
        <v>134</v>
      </c>
      <c r="O335" s="293"/>
      <c r="P335" s="301"/>
    </row>
    <row r="336" spans="2:83" ht="14.25" customHeight="1" x14ac:dyDescent="0.3">
      <c r="B336" s="86" t="s">
        <v>137</v>
      </c>
      <c r="C336" s="86"/>
      <c r="D336" s="86"/>
      <c r="E336" s="86"/>
      <c r="F336" s="5"/>
      <c r="G336" s="5"/>
      <c r="H336" s="7"/>
      <c r="I336" s="8"/>
      <c r="J336" s="8"/>
      <c r="K336" s="8"/>
      <c r="L336" s="9"/>
      <c r="M336" s="65"/>
      <c r="N336" s="5"/>
      <c r="O336" s="5"/>
      <c r="P336" s="6"/>
    </row>
    <row r="337" spans="2:16" ht="14.25" customHeight="1" x14ac:dyDescent="0.3">
      <c r="B337" s="86" t="s">
        <v>22</v>
      </c>
      <c r="C337" s="86"/>
      <c r="D337" s="86"/>
      <c r="E337" s="86"/>
      <c r="F337" s="5"/>
      <c r="G337" s="5"/>
      <c r="H337" s="5"/>
      <c r="I337" s="5"/>
      <c r="J337" s="5"/>
      <c r="K337" s="5"/>
      <c r="L337" s="5"/>
      <c r="M337" s="65"/>
      <c r="N337" s="304" t="s">
        <v>38</v>
      </c>
      <c r="O337" s="293"/>
      <c r="P337" s="301"/>
    </row>
    <row r="338" spans="2:16" ht="14.25" customHeight="1" x14ac:dyDescent="0.3">
      <c r="B338" s="4"/>
      <c r="C338" s="5"/>
      <c r="D338" s="5"/>
      <c r="E338" s="6"/>
      <c r="F338" s="5" t="s">
        <v>236</v>
      </c>
      <c r="G338" s="5"/>
      <c r="H338" s="1"/>
      <c r="I338" s="2"/>
      <c r="J338" s="2"/>
      <c r="K338" s="2"/>
      <c r="L338" s="3"/>
      <c r="M338" s="65"/>
      <c r="N338" s="5"/>
      <c r="O338" s="5"/>
      <c r="P338" s="6"/>
    </row>
    <row r="339" spans="2:16" ht="14.25" customHeight="1" x14ac:dyDescent="0.3">
      <c r="B339" s="4" t="s">
        <v>237</v>
      </c>
      <c r="C339" s="5"/>
      <c r="D339" s="5"/>
      <c r="E339" s="6"/>
      <c r="F339" s="5"/>
      <c r="G339" s="5"/>
      <c r="H339" s="4"/>
      <c r="I339" s="5"/>
      <c r="J339" s="5"/>
      <c r="K339" s="5"/>
      <c r="L339" s="6"/>
      <c r="M339" s="65"/>
      <c r="N339" s="304" t="s">
        <v>62</v>
      </c>
      <c r="O339" s="293"/>
      <c r="P339" s="301"/>
    </row>
    <row r="340" spans="2:16" ht="14.25" customHeight="1" x14ac:dyDescent="0.3">
      <c r="B340" s="4"/>
      <c r="C340" s="5"/>
      <c r="D340" s="5"/>
      <c r="E340" s="6"/>
      <c r="F340" s="5"/>
      <c r="G340" s="5"/>
      <c r="H340" s="7"/>
      <c r="I340" s="8"/>
      <c r="J340" s="8"/>
      <c r="K340" s="8"/>
      <c r="L340" s="9"/>
      <c r="M340" s="65"/>
      <c r="N340" s="5"/>
      <c r="O340" s="5"/>
      <c r="P340" s="6"/>
    </row>
    <row r="341" spans="2:16" ht="14.25" customHeight="1" x14ac:dyDescent="0.3">
      <c r="B341" s="185" t="s">
        <v>238</v>
      </c>
      <c r="C341" s="186" t="s">
        <v>239</v>
      </c>
      <c r="D341" s="187" t="s">
        <v>176</v>
      </c>
      <c r="E341" s="188" t="s">
        <v>240</v>
      </c>
      <c r="F341" s="5" t="s">
        <v>241</v>
      </c>
      <c r="G341" s="5"/>
      <c r="H341" s="114"/>
      <c r="I341" s="84"/>
      <c r="J341" s="108"/>
      <c r="K341" s="5"/>
      <c r="L341" s="5"/>
      <c r="M341" s="65"/>
      <c r="N341" s="304" t="s">
        <v>37</v>
      </c>
      <c r="O341" s="293"/>
      <c r="P341" s="301"/>
    </row>
    <row r="342" spans="2:16" ht="14.25" customHeight="1" x14ac:dyDescent="0.3">
      <c r="B342" s="189"/>
      <c r="C342" s="190"/>
      <c r="D342" s="190"/>
      <c r="E342" s="191"/>
      <c r="F342" s="5"/>
      <c r="G342" s="5"/>
      <c r="H342" s="5"/>
      <c r="I342" s="5"/>
      <c r="J342" s="5"/>
      <c r="K342" s="5"/>
      <c r="L342" s="5"/>
      <c r="M342" s="65"/>
      <c r="N342" s="5"/>
      <c r="O342" s="5"/>
      <c r="P342" s="6"/>
    </row>
    <row r="343" spans="2:16" ht="14.25" customHeight="1" x14ac:dyDescent="0.3">
      <c r="B343" s="4"/>
      <c r="C343" s="5"/>
      <c r="D343" s="5"/>
      <c r="E343" s="6"/>
      <c r="F343" s="5" t="s">
        <v>242</v>
      </c>
      <c r="G343" s="5"/>
      <c r="H343" s="322"/>
      <c r="I343" s="323"/>
      <c r="J343" s="324"/>
      <c r="K343" s="5"/>
      <c r="L343" s="5"/>
      <c r="M343" s="65"/>
      <c r="N343" s="5"/>
      <c r="O343" s="5"/>
      <c r="P343" s="6"/>
    </row>
    <row r="344" spans="2:16" ht="14.25" customHeight="1" x14ac:dyDescent="0.3">
      <c r="B344" s="4"/>
      <c r="C344" s="5"/>
      <c r="D344" s="5"/>
      <c r="E344" s="6"/>
      <c r="F344" s="5"/>
      <c r="G344" s="5"/>
      <c r="H344" s="5"/>
      <c r="I344" s="5"/>
      <c r="J344" s="5"/>
      <c r="K344" s="5"/>
      <c r="L344" s="5"/>
      <c r="M344" s="65"/>
      <c r="N344" s="5"/>
      <c r="O344" s="5"/>
      <c r="P344" s="6"/>
    </row>
    <row r="345" spans="2:16" ht="14.25" customHeight="1" x14ac:dyDescent="0.3">
      <c r="B345" s="4"/>
      <c r="C345" s="5"/>
      <c r="D345" s="5"/>
      <c r="E345" s="6"/>
      <c r="F345" s="5"/>
      <c r="G345" s="5"/>
      <c r="H345" s="102" t="s">
        <v>100</v>
      </c>
      <c r="I345" s="5"/>
      <c r="J345" s="5"/>
      <c r="K345" s="5"/>
      <c r="L345" s="5"/>
      <c r="M345" s="65"/>
      <c r="N345" s="5"/>
      <c r="O345" s="5"/>
      <c r="P345" s="6"/>
    </row>
    <row r="346" spans="2:16" ht="14.25" customHeight="1" x14ac:dyDescent="0.3">
      <c r="B346" s="4"/>
      <c r="C346" s="5"/>
      <c r="D346" s="5"/>
      <c r="E346" s="6"/>
      <c r="F346" s="5"/>
      <c r="G346" s="5"/>
      <c r="H346" s="5"/>
      <c r="I346" s="5"/>
      <c r="J346" s="5"/>
      <c r="K346" s="5"/>
      <c r="L346" s="5"/>
      <c r="M346" s="65"/>
      <c r="N346" s="5"/>
      <c r="O346" s="5"/>
      <c r="P346" s="6"/>
    </row>
    <row r="347" spans="2:16" ht="14.25" customHeight="1" x14ac:dyDescent="0.3">
      <c r="B347" s="4"/>
      <c r="C347" s="5"/>
      <c r="D347" s="5"/>
      <c r="E347" s="6"/>
      <c r="F347" s="5"/>
      <c r="G347" s="5"/>
      <c r="H347" s="5"/>
      <c r="I347" s="5"/>
      <c r="J347" s="5"/>
      <c r="K347" s="5"/>
      <c r="L347" s="5"/>
      <c r="M347" s="65"/>
      <c r="N347" s="5"/>
      <c r="O347" s="81" t="s">
        <v>78</v>
      </c>
      <c r="P347" s="6"/>
    </row>
    <row r="348" spans="2:16" ht="14.25" customHeight="1" x14ac:dyDescent="0.3">
      <c r="B348" s="4"/>
      <c r="C348" s="5"/>
      <c r="D348" s="5"/>
      <c r="E348" s="6"/>
      <c r="F348" s="5"/>
      <c r="G348" s="5"/>
      <c r="H348" s="5"/>
      <c r="I348" s="5"/>
      <c r="J348" s="5"/>
      <c r="K348" s="5"/>
      <c r="L348" s="5"/>
      <c r="M348" s="65"/>
      <c r="N348" s="5"/>
      <c r="O348" s="5"/>
      <c r="P348" s="6"/>
    </row>
    <row r="349" spans="2:16" ht="14.25" customHeight="1" x14ac:dyDescent="0.3">
      <c r="B349" s="7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141"/>
      <c r="N349" s="8"/>
      <c r="O349" s="8"/>
      <c r="P349" s="9"/>
    </row>
    <row r="350" spans="2:16" ht="14.25" customHeight="1" x14ac:dyDescent="0.3"/>
    <row r="351" spans="2:16" ht="14.25" customHeight="1" x14ac:dyDescent="0.3"/>
    <row r="352" spans="2:16" ht="14.25" customHeight="1" x14ac:dyDescent="0.3"/>
    <row r="353" spans="2:16" ht="14.25" customHeight="1" x14ac:dyDescent="0.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3"/>
    </row>
    <row r="354" spans="2:16" ht="14.25" customHeight="1" x14ac:dyDescent="0.35">
      <c r="B354" s="300" t="s">
        <v>0</v>
      </c>
      <c r="C354" s="293"/>
      <c r="D354" s="293"/>
      <c r="E354" s="293"/>
      <c r="F354" s="293"/>
      <c r="G354" s="293"/>
      <c r="H354" s="293"/>
      <c r="I354" s="293"/>
      <c r="J354" s="293"/>
      <c r="K354" s="293"/>
      <c r="L354" s="293"/>
      <c r="M354" s="293"/>
      <c r="N354" s="293"/>
      <c r="O354" s="293"/>
      <c r="P354" s="301"/>
    </row>
    <row r="355" spans="2:16" ht="14.25" customHeight="1" x14ac:dyDescent="0.3">
      <c r="B355" s="305" t="s">
        <v>5</v>
      </c>
      <c r="C355" s="293"/>
      <c r="D355" s="293"/>
      <c r="E355" s="293"/>
      <c r="F355" s="293"/>
      <c r="G355" s="293"/>
      <c r="H355" s="293"/>
      <c r="I355" s="293"/>
      <c r="J355" s="293"/>
      <c r="K355" s="293"/>
      <c r="L355" s="293"/>
      <c r="M355" s="293"/>
      <c r="N355" s="293"/>
      <c r="O355" s="293"/>
      <c r="P355" s="301"/>
    </row>
    <row r="356" spans="2:16" ht="27.6" customHeight="1" x14ac:dyDescent="0.45">
      <c r="B356" s="306" t="s">
        <v>37</v>
      </c>
      <c r="C356" s="293"/>
      <c r="D356" s="293"/>
      <c r="E356" s="293"/>
      <c r="F356" s="293"/>
      <c r="G356" s="293"/>
      <c r="H356" s="293"/>
      <c r="I356" s="293"/>
      <c r="J356" s="293"/>
      <c r="K356" s="293"/>
      <c r="L356" s="293"/>
      <c r="M356" s="293"/>
      <c r="N356" s="293"/>
      <c r="O356" s="293"/>
      <c r="P356" s="301"/>
    </row>
    <row r="357" spans="2:16" ht="14.25" customHeight="1" x14ac:dyDescent="0.3">
      <c r="B357" s="307"/>
      <c r="C357" s="294"/>
      <c r="D357" s="5"/>
      <c r="E357" s="5"/>
      <c r="F357" s="77"/>
      <c r="G357" s="5"/>
      <c r="H357" s="58">
        <v>45479</v>
      </c>
      <c r="I357" s="5"/>
      <c r="J357" s="5"/>
      <c r="K357" s="5"/>
      <c r="L357" s="5" t="s">
        <v>41</v>
      </c>
      <c r="M357" s="5"/>
      <c r="N357" s="11"/>
      <c r="O357" s="5"/>
      <c r="P357" s="6"/>
    </row>
    <row r="358" spans="2:16" ht="14.25" customHeight="1" x14ac:dyDescent="0.3">
      <c r="B358" s="1"/>
      <c r="C358" s="2"/>
      <c r="D358" s="2"/>
      <c r="E358" s="3"/>
      <c r="F358" s="119"/>
      <c r="G358" s="119"/>
      <c r="H358" s="119"/>
      <c r="I358" s="119"/>
      <c r="J358" s="119"/>
      <c r="K358" s="119"/>
      <c r="L358" s="325" t="s">
        <v>243</v>
      </c>
      <c r="M358" s="312"/>
      <c r="N358" s="5"/>
      <c r="O358" s="5"/>
      <c r="P358" s="6"/>
    </row>
    <row r="359" spans="2:16" ht="14.25" customHeight="1" x14ac:dyDescent="0.3">
      <c r="B359" s="326"/>
      <c r="C359" s="299"/>
      <c r="D359" s="327"/>
      <c r="E359" s="328"/>
      <c r="F359" s="5"/>
      <c r="G359" s="5"/>
      <c r="H359" s="5"/>
      <c r="I359" s="5"/>
      <c r="J359" s="5"/>
      <c r="K359" s="5"/>
      <c r="L359" s="5"/>
      <c r="M359" s="65"/>
      <c r="N359" s="302" t="s">
        <v>47</v>
      </c>
      <c r="O359" s="293"/>
      <c r="P359" s="301"/>
    </row>
    <row r="360" spans="2:16" ht="14.25" customHeight="1" x14ac:dyDescent="0.3">
      <c r="B360" s="292" t="s">
        <v>244</v>
      </c>
      <c r="C360" s="293"/>
      <c r="D360" s="294"/>
      <c r="E360" s="134"/>
      <c r="F360" s="5"/>
      <c r="G360" s="5"/>
      <c r="H360" s="5"/>
      <c r="I360" s="5"/>
      <c r="J360" s="5"/>
      <c r="K360" s="5"/>
      <c r="L360" s="5"/>
      <c r="M360" s="65"/>
      <c r="N360" s="302" t="s">
        <v>6</v>
      </c>
      <c r="O360" s="293"/>
      <c r="P360" s="301"/>
    </row>
    <row r="361" spans="2:16" ht="14.25" customHeight="1" x14ac:dyDescent="0.3">
      <c r="B361" s="292"/>
      <c r="C361" s="293"/>
      <c r="D361" s="294"/>
      <c r="E361" s="135"/>
      <c r="F361" s="70"/>
      <c r="G361" s="70"/>
      <c r="H361" s="5"/>
      <c r="I361" s="5"/>
      <c r="J361" s="5"/>
      <c r="K361" s="5"/>
      <c r="L361" s="5"/>
      <c r="M361" s="65"/>
      <c r="N361" s="5"/>
      <c r="O361" s="5"/>
      <c r="P361" s="6"/>
    </row>
    <row r="362" spans="2:16" ht="14.25" customHeight="1" x14ac:dyDescent="0.3">
      <c r="B362" s="292"/>
      <c r="C362" s="293"/>
      <c r="D362" s="294"/>
      <c r="E362" s="135"/>
      <c r="F362" s="70"/>
      <c r="G362" s="70"/>
      <c r="H362" s="5"/>
      <c r="I362" s="5"/>
      <c r="J362" s="5"/>
      <c r="K362" s="5"/>
      <c r="L362" s="5"/>
      <c r="M362" s="65"/>
      <c r="N362" s="303" t="s">
        <v>15</v>
      </c>
      <c r="O362" s="293"/>
      <c r="P362" s="301"/>
    </row>
    <row r="363" spans="2:16" ht="14.25" customHeight="1" x14ac:dyDescent="0.3">
      <c r="B363" s="292"/>
      <c r="C363" s="293"/>
      <c r="D363" s="294"/>
      <c r="E363" s="135"/>
      <c r="F363" s="70"/>
      <c r="G363" s="70"/>
      <c r="H363" s="5"/>
      <c r="I363" s="5"/>
      <c r="J363" s="5"/>
      <c r="K363" s="5"/>
      <c r="L363" s="5"/>
      <c r="M363" s="65"/>
      <c r="N363" s="5"/>
      <c r="O363" s="5"/>
      <c r="P363" s="6"/>
    </row>
    <row r="364" spans="2:16" ht="14.25" customHeight="1" x14ac:dyDescent="0.3">
      <c r="B364" s="292"/>
      <c r="C364" s="293"/>
      <c r="D364" s="294"/>
      <c r="E364" s="6"/>
      <c r="F364" s="5"/>
      <c r="G364" s="5"/>
      <c r="H364" s="5"/>
      <c r="I364" s="5"/>
      <c r="J364" s="5"/>
      <c r="K364" s="5"/>
      <c r="L364" s="5"/>
      <c r="M364" s="65"/>
      <c r="N364" s="304" t="s">
        <v>134</v>
      </c>
      <c r="O364" s="293"/>
      <c r="P364" s="301"/>
    </row>
    <row r="365" spans="2:16" ht="14.25" customHeight="1" x14ac:dyDescent="0.3">
      <c r="B365" s="292"/>
      <c r="C365" s="293"/>
      <c r="D365" s="294"/>
      <c r="E365" s="6"/>
      <c r="F365" s="5"/>
      <c r="G365" s="5"/>
      <c r="H365" s="5"/>
      <c r="I365" s="5"/>
      <c r="J365" s="5"/>
      <c r="K365" s="5"/>
      <c r="L365" s="5"/>
      <c r="M365" s="65"/>
      <c r="N365" s="5"/>
      <c r="O365" s="5"/>
      <c r="P365" s="6"/>
    </row>
    <row r="366" spans="2:16" ht="14.25" customHeight="1" x14ac:dyDescent="0.3">
      <c r="B366" s="292"/>
      <c r="C366" s="293"/>
      <c r="D366" s="294"/>
      <c r="E366" s="6"/>
      <c r="F366" s="5"/>
      <c r="G366" s="5"/>
      <c r="H366" s="5"/>
      <c r="I366" s="5"/>
      <c r="J366" s="5"/>
      <c r="K366" s="5"/>
      <c r="L366" s="5"/>
      <c r="M366" s="65"/>
      <c r="N366" s="304" t="s">
        <v>38</v>
      </c>
      <c r="O366" s="293"/>
      <c r="P366" s="301"/>
    </row>
    <row r="367" spans="2:16" ht="14.25" customHeight="1" x14ac:dyDescent="0.3">
      <c r="B367" s="292"/>
      <c r="C367" s="293"/>
      <c r="D367" s="294"/>
      <c r="E367" s="6"/>
      <c r="F367" s="5"/>
      <c r="G367" s="5"/>
      <c r="H367" s="5"/>
      <c r="I367" s="5"/>
      <c r="J367" s="5"/>
      <c r="K367" s="5"/>
      <c r="L367" s="5"/>
      <c r="M367" s="65"/>
      <c r="N367" s="5"/>
      <c r="O367" s="5"/>
      <c r="P367" s="6"/>
    </row>
    <row r="368" spans="2:16" ht="14.25" customHeight="1" x14ac:dyDescent="0.3">
      <c r="B368" s="292"/>
      <c r="C368" s="293"/>
      <c r="D368" s="294"/>
      <c r="E368" s="6"/>
      <c r="F368" s="5"/>
      <c r="G368" s="5"/>
      <c r="H368" s="5"/>
      <c r="I368" s="5"/>
      <c r="J368" s="5"/>
      <c r="K368" s="5"/>
      <c r="L368" s="5"/>
      <c r="M368" s="65"/>
      <c r="N368" s="304" t="s">
        <v>62</v>
      </c>
      <c r="O368" s="293"/>
      <c r="P368" s="301"/>
    </row>
    <row r="369" spans="2:16" ht="14.25" customHeight="1" x14ac:dyDescent="0.3">
      <c r="B369" s="292"/>
      <c r="C369" s="293"/>
      <c r="D369" s="294"/>
      <c r="E369" s="6"/>
      <c r="F369" s="5"/>
      <c r="G369" s="5"/>
      <c r="H369" s="5"/>
      <c r="I369" s="5"/>
      <c r="J369" s="5"/>
      <c r="K369" s="5"/>
      <c r="L369" s="5"/>
      <c r="M369" s="65"/>
      <c r="N369" s="5"/>
      <c r="O369" s="5"/>
      <c r="P369" s="6"/>
    </row>
    <row r="370" spans="2:16" ht="14.25" customHeight="1" x14ac:dyDescent="0.3">
      <c r="B370" s="292"/>
      <c r="C370" s="293"/>
      <c r="D370" s="294"/>
      <c r="E370" s="6"/>
      <c r="F370" s="5"/>
      <c r="G370" s="5"/>
      <c r="H370" s="5"/>
      <c r="I370" s="5"/>
      <c r="J370" s="5"/>
      <c r="K370" s="5"/>
      <c r="L370" s="5"/>
      <c r="M370" s="65"/>
      <c r="N370" s="304"/>
      <c r="O370" s="293"/>
      <c r="P370" s="301"/>
    </row>
    <row r="371" spans="2:16" ht="14.25" customHeight="1" x14ac:dyDescent="0.3">
      <c r="B371" s="292"/>
      <c r="C371" s="293"/>
      <c r="D371" s="294"/>
      <c r="E371" s="6"/>
      <c r="F371" s="5"/>
      <c r="G371" s="5"/>
      <c r="H371" s="5"/>
      <c r="I371" s="5"/>
      <c r="J371" s="5"/>
      <c r="K371" s="5"/>
      <c r="L371" s="5"/>
      <c r="M371" s="65"/>
      <c r="N371" s="5"/>
      <c r="O371" s="5"/>
      <c r="P371" s="6"/>
    </row>
    <row r="372" spans="2:16" ht="14.25" customHeight="1" x14ac:dyDescent="0.3">
      <c r="B372" s="292"/>
      <c r="C372" s="293"/>
      <c r="D372" s="294"/>
      <c r="E372" s="6"/>
      <c r="F372" s="5"/>
      <c r="G372" s="5"/>
      <c r="H372" s="5"/>
      <c r="I372" s="5"/>
      <c r="J372" s="5"/>
      <c r="K372" s="5"/>
      <c r="L372" s="5"/>
      <c r="M372" s="65"/>
      <c r="N372" s="5"/>
      <c r="O372" s="5"/>
      <c r="P372" s="6"/>
    </row>
    <row r="373" spans="2:16" ht="14.25" customHeight="1" x14ac:dyDescent="0.3">
      <c r="B373" s="292"/>
      <c r="C373" s="293"/>
      <c r="D373" s="294"/>
      <c r="E373" s="6"/>
      <c r="F373" s="5"/>
      <c r="G373" s="5"/>
      <c r="H373" s="5"/>
      <c r="I373" s="5"/>
      <c r="J373" s="5"/>
      <c r="K373" s="5"/>
      <c r="L373" s="5"/>
      <c r="M373" s="65"/>
      <c r="N373" s="5"/>
      <c r="O373" s="5"/>
      <c r="P373" s="6"/>
    </row>
    <row r="374" spans="2:16" ht="14.25" customHeight="1" x14ac:dyDescent="0.3">
      <c r="B374" s="292"/>
      <c r="C374" s="293"/>
      <c r="D374" s="294"/>
      <c r="E374" s="6"/>
      <c r="F374" s="5"/>
      <c r="G374" s="5"/>
      <c r="H374" s="5"/>
      <c r="I374" s="5"/>
      <c r="J374" s="5"/>
      <c r="K374" s="5"/>
      <c r="L374" s="5"/>
      <c r="M374" s="65"/>
      <c r="N374" s="5"/>
      <c r="O374" s="5"/>
      <c r="P374" s="6"/>
    </row>
    <row r="375" spans="2:16" ht="14.25" customHeight="1" x14ac:dyDescent="0.3">
      <c r="B375" s="292"/>
      <c r="C375" s="293"/>
      <c r="D375" s="294"/>
      <c r="E375" s="6"/>
      <c r="F375" s="5"/>
      <c r="G375" s="5"/>
      <c r="H375" s="5"/>
      <c r="I375" s="5"/>
      <c r="J375" s="5"/>
      <c r="K375" s="5"/>
      <c r="L375" s="5"/>
      <c r="M375" s="65"/>
      <c r="N375" s="5"/>
      <c r="O375" s="5"/>
      <c r="P375" s="6"/>
    </row>
    <row r="376" spans="2:16" ht="14.25" customHeight="1" x14ac:dyDescent="0.3">
      <c r="B376" s="292"/>
      <c r="C376" s="293"/>
      <c r="D376" s="294"/>
      <c r="E376" s="6"/>
      <c r="F376" s="1"/>
      <c r="G376" s="2"/>
      <c r="H376" s="2"/>
      <c r="I376" s="2"/>
      <c r="J376" s="2"/>
      <c r="K376" s="2"/>
      <c r="L376" s="2"/>
      <c r="M376" s="3"/>
      <c r="N376" s="5"/>
      <c r="O376" s="81" t="s">
        <v>78</v>
      </c>
      <c r="P376" s="6"/>
    </row>
    <row r="377" spans="2:16" ht="14.25" customHeight="1" x14ac:dyDescent="0.3">
      <c r="B377" s="292"/>
      <c r="C377" s="293"/>
      <c r="D377" s="294"/>
      <c r="E377" s="6"/>
      <c r="F377" s="7"/>
      <c r="G377" s="8"/>
      <c r="H377" s="8"/>
      <c r="I377" s="8"/>
      <c r="J377" s="8"/>
      <c r="K377" s="8"/>
      <c r="L377" s="8"/>
      <c r="M377" s="9"/>
      <c r="N377" s="5"/>
      <c r="O377" s="5"/>
      <c r="P377" s="6"/>
    </row>
    <row r="378" spans="2:16" ht="14.25" customHeight="1" x14ac:dyDescent="0.3">
      <c r="B378" s="297"/>
      <c r="C378" s="298"/>
      <c r="D378" s="299"/>
      <c r="E378" s="9"/>
      <c r="F378" s="8"/>
      <c r="G378" s="8"/>
      <c r="H378" s="8"/>
      <c r="I378" s="8"/>
      <c r="J378" s="8"/>
      <c r="K378" s="8"/>
      <c r="L378" s="8"/>
      <c r="M378" s="141"/>
      <c r="N378" s="8"/>
      <c r="O378" s="8"/>
      <c r="P378" s="9"/>
    </row>
  </sheetData>
  <mergeCells count="322">
    <mergeCell ref="J271:L271"/>
    <mergeCell ref="K272:L272"/>
    <mergeCell ref="K273:L273"/>
    <mergeCell ref="N273:P273"/>
    <mergeCell ref="K274:L274"/>
    <mergeCell ref="N275:P275"/>
    <mergeCell ref="S192:S193"/>
    <mergeCell ref="AJ192:AL192"/>
    <mergeCell ref="AJ194:AL194"/>
    <mergeCell ref="X190:Z190"/>
    <mergeCell ref="X193:Z193"/>
    <mergeCell ref="X194:Z194"/>
    <mergeCell ref="X195:Z195"/>
    <mergeCell ref="S196:S197"/>
    <mergeCell ref="X196:Z196"/>
    <mergeCell ref="X197:Z197"/>
    <mergeCell ref="X185:Z185"/>
    <mergeCell ref="X186:Z186"/>
    <mergeCell ref="AJ186:AL186"/>
    <mergeCell ref="X191:Z191"/>
    <mergeCell ref="X192:Z192"/>
    <mergeCell ref="X187:Z187"/>
    <mergeCell ref="X188:Z188"/>
    <mergeCell ref="AJ188:AL188"/>
    <mergeCell ref="X189:Z189"/>
    <mergeCell ref="AJ190:AL190"/>
    <mergeCell ref="X178:AL178"/>
    <mergeCell ref="X179:AL179"/>
    <mergeCell ref="X180:AL180"/>
    <mergeCell ref="X181:Y181"/>
    <mergeCell ref="X183:Y183"/>
    <mergeCell ref="Z183:AA183"/>
    <mergeCell ref="AJ183:AL183"/>
    <mergeCell ref="X184:Z184"/>
    <mergeCell ref="AJ184:AL184"/>
    <mergeCell ref="N184:P184"/>
    <mergeCell ref="N186:P186"/>
    <mergeCell ref="N188:P188"/>
    <mergeCell ref="N190:P190"/>
    <mergeCell ref="N192:P192"/>
    <mergeCell ref="N194:P194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N128:P128"/>
    <mergeCell ref="N130:P130"/>
    <mergeCell ref="N132:P132"/>
    <mergeCell ref="N134:P134"/>
    <mergeCell ref="N136:P136"/>
    <mergeCell ref="B126:C126"/>
    <mergeCell ref="N126:P126"/>
    <mergeCell ref="B127:C127"/>
    <mergeCell ref="B128:D128"/>
    <mergeCell ref="B129:C129"/>
    <mergeCell ref="B130:C130"/>
    <mergeCell ref="F130:G130"/>
    <mergeCell ref="B131:C131"/>
    <mergeCell ref="B132:D132"/>
    <mergeCell ref="B133:C133"/>
    <mergeCell ref="B134:C134"/>
    <mergeCell ref="B135:C135"/>
    <mergeCell ref="B136:C136"/>
    <mergeCell ref="F136:G136"/>
    <mergeCell ref="F125:G125"/>
    <mergeCell ref="N125:P125"/>
    <mergeCell ref="B115:D115"/>
    <mergeCell ref="B120:P120"/>
    <mergeCell ref="B121:P121"/>
    <mergeCell ref="B122:P122"/>
    <mergeCell ref="B123:C123"/>
    <mergeCell ref="B124:E124"/>
    <mergeCell ref="B125:C125"/>
    <mergeCell ref="N159:P159"/>
    <mergeCell ref="N161:P161"/>
    <mergeCell ref="N163:P163"/>
    <mergeCell ref="N165:P165"/>
    <mergeCell ref="B178:P178"/>
    <mergeCell ref="B179:P179"/>
    <mergeCell ref="B180:P180"/>
    <mergeCell ref="B181:C181"/>
    <mergeCell ref="F182:H182"/>
    <mergeCell ref="I182:I183"/>
    <mergeCell ref="J182:M182"/>
    <mergeCell ref="N183:P183"/>
    <mergeCell ref="B156:D156"/>
    <mergeCell ref="B157:D157"/>
    <mergeCell ref="B144:D144"/>
    <mergeCell ref="B149:P149"/>
    <mergeCell ref="B150:P150"/>
    <mergeCell ref="B151:P151"/>
    <mergeCell ref="B152:C152"/>
    <mergeCell ref="D154:E154"/>
    <mergeCell ref="N154:P154"/>
    <mergeCell ref="N155:P155"/>
    <mergeCell ref="N157:P157"/>
    <mergeCell ref="B108:C108"/>
    <mergeCell ref="B109:C109"/>
    <mergeCell ref="B110:C110"/>
    <mergeCell ref="B111:C111"/>
    <mergeCell ref="B112:C112"/>
    <mergeCell ref="B113:C113"/>
    <mergeCell ref="B114:D114"/>
    <mergeCell ref="B154:C154"/>
    <mergeCell ref="B155:D155"/>
    <mergeCell ref="B137:C137"/>
    <mergeCell ref="B138:C138"/>
    <mergeCell ref="B139:C139"/>
    <mergeCell ref="B140:C140"/>
    <mergeCell ref="B141:C141"/>
    <mergeCell ref="B142:C142"/>
    <mergeCell ref="B143:D143"/>
    <mergeCell ref="N103:P103"/>
    <mergeCell ref="N105:P105"/>
    <mergeCell ref="N107:P107"/>
    <mergeCell ref="B91:P91"/>
    <mergeCell ref="B92:P92"/>
    <mergeCell ref="B93:P93"/>
    <mergeCell ref="B94:C94"/>
    <mergeCell ref="B95:E95"/>
    <mergeCell ref="F96:G96"/>
    <mergeCell ref="N96:P96"/>
    <mergeCell ref="R75:S75"/>
    <mergeCell ref="N76:P76"/>
    <mergeCell ref="R76:S76"/>
    <mergeCell ref="N78:P78"/>
    <mergeCell ref="B62:P62"/>
    <mergeCell ref="B63:P63"/>
    <mergeCell ref="B64:P64"/>
    <mergeCell ref="B65:C65"/>
    <mergeCell ref="N67:P67"/>
    <mergeCell ref="N68:P68"/>
    <mergeCell ref="N70:P70"/>
    <mergeCell ref="B104:C104"/>
    <mergeCell ref="B105:C105"/>
    <mergeCell ref="B106:C106"/>
    <mergeCell ref="B107:C107"/>
    <mergeCell ref="F107:G107"/>
    <mergeCell ref="C12:G14"/>
    <mergeCell ref="K13:M13"/>
    <mergeCell ref="K15:M15"/>
    <mergeCell ref="B33:P33"/>
    <mergeCell ref="C34:E34"/>
    <mergeCell ref="H34:J34"/>
    <mergeCell ref="N37:P37"/>
    <mergeCell ref="G39:H39"/>
    <mergeCell ref="I39:J39"/>
    <mergeCell ref="K39:L39"/>
    <mergeCell ref="N40:P40"/>
    <mergeCell ref="N42:P42"/>
    <mergeCell ref="G55:H55"/>
    <mergeCell ref="I55:J55"/>
    <mergeCell ref="N72:P72"/>
    <mergeCell ref="N74:P74"/>
    <mergeCell ref="N97:P97"/>
    <mergeCell ref="N99:P99"/>
    <mergeCell ref="N101:P101"/>
    <mergeCell ref="B96:C96"/>
    <mergeCell ref="B97:C97"/>
    <mergeCell ref="B98:C98"/>
    <mergeCell ref="B99:D99"/>
    <mergeCell ref="B100:C100"/>
    <mergeCell ref="B101:C101"/>
    <mergeCell ref="F101:G101"/>
    <mergeCell ref="B102:C102"/>
    <mergeCell ref="B103:D103"/>
    <mergeCell ref="N251:P251"/>
    <mergeCell ref="B265:P265"/>
    <mergeCell ref="B266:P266"/>
    <mergeCell ref="B267:P267"/>
    <mergeCell ref="B268:E268"/>
    <mergeCell ref="CT294:CU294"/>
    <mergeCell ref="CV294:CW294"/>
    <mergeCell ref="CF294:CG294"/>
    <mergeCell ref="CH294:CI294"/>
    <mergeCell ref="CJ294:CK294"/>
    <mergeCell ref="CL294:CM294"/>
    <mergeCell ref="CN294:CO294"/>
    <mergeCell ref="CP294:CQ294"/>
    <mergeCell ref="CR294:CS294"/>
    <mergeCell ref="B270:E270"/>
    <mergeCell ref="F270:M270"/>
    <mergeCell ref="B271:E271"/>
    <mergeCell ref="F271:F272"/>
    <mergeCell ref="G271:G272"/>
    <mergeCell ref="H271:H272"/>
    <mergeCell ref="M271:M272"/>
    <mergeCell ref="B272:C272"/>
    <mergeCell ref="K275:L275"/>
    <mergeCell ref="K276:L276"/>
    <mergeCell ref="B236:P236"/>
    <mergeCell ref="B237:P237"/>
    <mergeCell ref="B238:C238"/>
    <mergeCell ref="N240:P240"/>
    <mergeCell ref="N241:P241"/>
    <mergeCell ref="N243:P243"/>
    <mergeCell ref="N245:P245"/>
    <mergeCell ref="N247:P247"/>
    <mergeCell ref="N249:P249"/>
    <mergeCell ref="B374:D374"/>
    <mergeCell ref="B375:D375"/>
    <mergeCell ref="B376:D376"/>
    <mergeCell ref="B377:D377"/>
    <mergeCell ref="B378:D378"/>
    <mergeCell ref="B367:D367"/>
    <mergeCell ref="B368:D368"/>
    <mergeCell ref="B369:D369"/>
    <mergeCell ref="B370:D370"/>
    <mergeCell ref="B371:D371"/>
    <mergeCell ref="B372:D372"/>
    <mergeCell ref="B373:D373"/>
    <mergeCell ref="B360:D360"/>
    <mergeCell ref="N360:P360"/>
    <mergeCell ref="N364:P364"/>
    <mergeCell ref="N366:P366"/>
    <mergeCell ref="N368:P368"/>
    <mergeCell ref="N370:P370"/>
    <mergeCell ref="B361:D361"/>
    <mergeCell ref="B362:D362"/>
    <mergeCell ref="N362:P362"/>
    <mergeCell ref="B363:D363"/>
    <mergeCell ref="B364:D364"/>
    <mergeCell ref="B365:D365"/>
    <mergeCell ref="B366:D366"/>
    <mergeCell ref="N341:P341"/>
    <mergeCell ref="H343:J343"/>
    <mergeCell ref="B354:P354"/>
    <mergeCell ref="B355:P355"/>
    <mergeCell ref="B356:P356"/>
    <mergeCell ref="B357:C357"/>
    <mergeCell ref="L358:M358"/>
    <mergeCell ref="B359:C359"/>
    <mergeCell ref="D359:E359"/>
    <mergeCell ref="N359:P359"/>
    <mergeCell ref="B326:P326"/>
    <mergeCell ref="B327:P327"/>
    <mergeCell ref="B328:C328"/>
    <mergeCell ref="B330:E330"/>
    <mergeCell ref="N330:P330"/>
    <mergeCell ref="B331:E331"/>
    <mergeCell ref="N331:P331"/>
    <mergeCell ref="N337:P337"/>
    <mergeCell ref="N339:P339"/>
    <mergeCell ref="N333:P333"/>
    <mergeCell ref="N335:P335"/>
    <mergeCell ref="N270:P270"/>
    <mergeCell ref="N271:P271"/>
    <mergeCell ref="N302:P302"/>
    <mergeCell ref="N304:P304"/>
    <mergeCell ref="N306:P306"/>
    <mergeCell ref="N308:P308"/>
    <mergeCell ref="N310:P310"/>
    <mergeCell ref="N312:P312"/>
    <mergeCell ref="B325:P325"/>
    <mergeCell ref="D301:E301"/>
    <mergeCell ref="B302:E302"/>
    <mergeCell ref="B303:C303"/>
    <mergeCell ref="B296:P296"/>
    <mergeCell ref="B297:P297"/>
    <mergeCell ref="B298:P298"/>
    <mergeCell ref="B299:E299"/>
    <mergeCell ref="B301:C301"/>
    <mergeCell ref="F301:M301"/>
    <mergeCell ref="N301:P301"/>
    <mergeCell ref="K277:L277"/>
    <mergeCell ref="N277:P277"/>
    <mergeCell ref="N279:P279"/>
    <mergeCell ref="N281:P281"/>
    <mergeCell ref="I271:I272"/>
    <mergeCell ref="B223:E223"/>
    <mergeCell ref="B224:E224"/>
    <mergeCell ref="B225:E225"/>
    <mergeCell ref="B226:E226"/>
    <mergeCell ref="B227:E227"/>
    <mergeCell ref="B228:E228"/>
    <mergeCell ref="B229:E229"/>
    <mergeCell ref="B230:E230"/>
    <mergeCell ref="B235:P235"/>
    <mergeCell ref="N216:P216"/>
    <mergeCell ref="N218:P218"/>
    <mergeCell ref="N220:P220"/>
    <mergeCell ref="N222:P222"/>
    <mergeCell ref="B207:P207"/>
    <mergeCell ref="B208:P208"/>
    <mergeCell ref="B209:C209"/>
    <mergeCell ref="F210:G210"/>
    <mergeCell ref="H210:I210"/>
    <mergeCell ref="J210:M210"/>
    <mergeCell ref="N211:P211"/>
    <mergeCell ref="B211:E211"/>
    <mergeCell ref="B212:E212"/>
    <mergeCell ref="B213:E213"/>
    <mergeCell ref="B214:E214"/>
    <mergeCell ref="B215:E215"/>
    <mergeCell ref="B216:E216"/>
    <mergeCell ref="B217:E217"/>
    <mergeCell ref="B218:E218"/>
    <mergeCell ref="B219:E219"/>
    <mergeCell ref="B220:E220"/>
    <mergeCell ref="B221:E221"/>
    <mergeCell ref="B222:E222"/>
    <mergeCell ref="X198:Z198"/>
    <mergeCell ref="X199:Z199"/>
    <mergeCell ref="S200:S201"/>
    <mergeCell ref="X200:Z200"/>
    <mergeCell ref="X201:Z201"/>
    <mergeCell ref="X202:Z202"/>
    <mergeCell ref="B206:P206"/>
    <mergeCell ref="N212:P212"/>
    <mergeCell ref="N214:P214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AO1000"/>
  <sheetViews>
    <sheetView workbookViewId="0"/>
  </sheetViews>
  <sheetFormatPr defaultColWidth="14.44140625" defaultRowHeight="15" customHeight="1" x14ac:dyDescent="0.3"/>
  <cols>
    <col min="1" max="5" width="8.6640625" customWidth="1"/>
    <col min="6" max="6" width="9.109375" customWidth="1"/>
    <col min="7" max="7" width="15.109375" customWidth="1"/>
    <col min="8" max="10" width="8.6640625" customWidth="1"/>
    <col min="11" max="11" width="11.109375" customWidth="1"/>
    <col min="12" max="41" width="8.6640625" customWidth="1"/>
  </cols>
  <sheetData>
    <row r="1" spans="3:17" ht="14.25" customHeight="1" x14ac:dyDescent="0.3"/>
    <row r="2" spans="3:17" ht="14.25" customHeight="1" x14ac:dyDescent="0.3"/>
    <row r="3" spans="3:17" ht="14.25" customHeight="1" x14ac:dyDescent="0.3"/>
    <row r="4" spans="3:17" ht="14.25" customHeight="1" x14ac:dyDescent="0.3"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</row>
    <row r="5" spans="3:17" ht="14.25" customHeight="1" x14ac:dyDescent="0.3"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</row>
    <row r="6" spans="3:17" ht="14.25" customHeight="1" x14ac:dyDescent="0.3"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</row>
    <row r="7" spans="3:17" ht="14.25" customHeight="1" x14ac:dyDescent="0.3"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6"/>
    </row>
    <row r="8" spans="3:17" ht="14.25" customHeight="1" x14ac:dyDescent="0.3"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6"/>
    </row>
    <row r="9" spans="3:17" ht="14.25" customHeight="1" x14ac:dyDescent="0.3"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6"/>
    </row>
    <row r="10" spans="3:17" ht="14.25" customHeight="1" x14ac:dyDescent="0.3"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6"/>
    </row>
    <row r="11" spans="3:17" ht="14.25" customHeight="1" x14ac:dyDescent="0.3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6"/>
    </row>
    <row r="12" spans="3:17" ht="14.25" customHeight="1" x14ac:dyDescent="0.3">
      <c r="C12" s="4"/>
      <c r="D12" s="344" t="s">
        <v>0</v>
      </c>
      <c r="E12" s="345"/>
      <c r="F12" s="345"/>
      <c r="G12" s="345"/>
      <c r="H12" s="346"/>
      <c r="I12" s="5"/>
      <c r="J12" s="5"/>
      <c r="K12" s="5"/>
      <c r="L12" s="5"/>
      <c r="M12" s="5"/>
      <c r="N12" s="5"/>
      <c r="O12" s="5"/>
      <c r="P12" s="5"/>
      <c r="Q12" s="6"/>
    </row>
    <row r="13" spans="3:17" ht="14.25" customHeight="1" x14ac:dyDescent="0.3">
      <c r="C13" s="4"/>
      <c r="D13" s="347"/>
      <c r="E13" s="296"/>
      <c r="F13" s="296"/>
      <c r="G13" s="296"/>
      <c r="H13" s="348"/>
      <c r="I13" s="5"/>
      <c r="J13" s="5"/>
      <c r="K13" s="5" t="s">
        <v>1</v>
      </c>
      <c r="L13" s="352"/>
      <c r="M13" s="315"/>
      <c r="N13" s="309"/>
      <c r="O13" s="5"/>
      <c r="P13" s="5"/>
      <c r="Q13" s="6"/>
    </row>
    <row r="14" spans="3:17" ht="14.25" customHeight="1" x14ac:dyDescent="0.3">
      <c r="C14" s="4"/>
      <c r="D14" s="349"/>
      <c r="E14" s="350"/>
      <c r="F14" s="350"/>
      <c r="G14" s="350"/>
      <c r="H14" s="351"/>
      <c r="I14" s="5"/>
      <c r="J14" s="5"/>
      <c r="K14" s="5"/>
      <c r="L14" s="5"/>
      <c r="M14" s="5"/>
      <c r="N14" s="5"/>
      <c r="O14" s="5"/>
      <c r="P14" s="5"/>
      <c r="Q14" s="6"/>
    </row>
    <row r="15" spans="3:17" ht="14.25" customHeight="1" x14ac:dyDescent="0.3">
      <c r="C15" s="4"/>
      <c r="D15" s="5"/>
      <c r="E15" s="5"/>
      <c r="F15" s="5"/>
      <c r="G15" s="5"/>
      <c r="H15" s="5"/>
      <c r="I15" s="5"/>
      <c r="J15" s="5"/>
      <c r="K15" s="5" t="s">
        <v>2</v>
      </c>
      <c r="L15" s="352"/>
      <c r="M15" s="315"/>
      <c r="N15" s="309"/>
      <c r="O15" s="5"/>
      <c r="P15" s="5"/>
      <c r="Q15" s="6"/>
    </row>
    <row r="16" spans="3:17" ht="14.25" customHeight="1" x14ac:dyDescent="0.3"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6"/>
    </row>
    <row r="17" spans="3:17" ht="14.25" customHeight="1" x14ac:dyDescent="0.3"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6"/>
    </row>
    <row r="18" spans="3:17" ht="14.25" customHeight="1" x14ac:dyDescent="0.3"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6"/>
    </row>
    <row r="19" spans="3:17" ht="14.25" customHeight="1" x14ac:dyDescent="0.3"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6"/>
    </row>
    <row r="20" spans="3:17" ht="14.25" customHeight="1" x14ac:dyDescent="0.3"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6"/>
    </row>
    <row r="21" spans="3:17" ht="14.25" customHeight="1" x14ac:dyDescent="0.3">
      <c r="C21" s="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6"/>
    </row>
    <row r="22" spans="3:17" ht="14.25" customHeight="1" x14ac:dyDescent="0.3"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6"/>
    </row>
    <row r="23" spans="3:17" ht="14.25" customHeight="1" x14ac:dyDescent="0.3">
      <c r="C23" s="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6"/>
    </row>
    <row r="24" spans="3:17" ht="14.25" customHeight="1" x14ac:dyDescent="0.3"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6"/>
    </row>
    <row r="25" spans="3:17" ht="14.25" customHeight="1" x14ac:dyDescent="0.3">
      <c r="C25" s="4"/>
      <c r="D25" s="5"/>
      <c r="E25" s="5"/>
      <c r="F25" s="5"/>
      <c r="H25" s="5" t="s">
        <v>3</v>
      </c>
      <c r="I25" s="5"/>
      <c r="J25" s="5"/>
      <c r="K25" s="5"/>
      <c r="L25" s="5"/>
      <c r="M25" s="5"/>
      <c r="N25" s="5"/>
      <c r="O25" s="5"/>
      <c r="P25" s="5"/>
      <c r="Q25" s="6"/>
    </row>
    <row r="26" spans="3:17" ht="14.25" customHeight="1" x14ac:dyDescent="0.3">
      <c r="C26" s="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6"/>
    </row>
    <row r="27" spans="3:17" ht="14.25" customHeight="1" x14ac:dyDescent="0.3">
      <c r="C27" s="4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3:17" ht="14.25" customHeight="1" x14ac:dyDescent="0.3"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6"/>
    </row>
    <row r="29" spans="3:17" ht="14.25" customHeight="1" x14ac:dyDescent="0.3"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9"/>
    </row>
    <row r="30" spans="3:17" ht="14.25" customHeight="1" x14ac:dyDescent="0.3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3:17" ht="14.25" customHeight="1" x14ac:dyDescent="0.3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3:17" ht="14.25" customHeight="1" x14ac:dyDescent="0.3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3:17" ht="14.25" customHeight="1" x14ac:dyDescent="0.3"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3"/>
    </row>
    <row r="34" spans="3:17" ht="14.25" customHeight="1" x14ac:dyDescent="0.45">
      <c r="C34" s="353" t="s">
        <v>0</v>
      </c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301"/>
    </row>
    <row r="35" spans="3:17" ht="14.25" customHeight="1" x14ac:dyDescent="0.35">
      <c r="C35" s="4"/>
      <c r="D35" s="354" t="s">
        <v>245</v>
      </c>
      <c r="E35" s="293"/>
      <c r="F35" s="294"/>
      <c r="G35" s="5"/>
      <c r="H35" s="5"/>
      <c r="I35" s="355"/>
      <c r="J35" s="293"/>
      <c r="K35" s="294"/>
      <c r="L35" s="5"/>
      <c r="M35" s="5"/>
      <c r="N35" s="5"/>
      <c r="O35" s="5"/>
      <c r="P35" s="5"/>
      <c r="Q35" s="6"/>
    </row>
    <row r="36" spans="3:17" ht="14.25" customHeight="1" x14ac:dyDescent="0.35">
      <c r="C36" s="4"/>
      <c r="D36" s="10" t="s">
        <v>176</v>
      </c>
      <c r="E36" s="10"/>
      <c r="F36" s="10"/>
      <c r="G36" s="5"/>
      <c r="H36" s="5"/>
      <c r="I36" s="5"/>
      <c r="J36" s="5"/>
      <c r="K36" s="5"/>
      <c r="L36" s="5"/>
      <c r="M36" s="5"/>
      <c r="N36" s="5"/>
      <c r="O36" s="11"/>
      <c r="P36" s="5"/>
      <c r="Q36" s="6"/>
    </row>
    <row r="37" spans="3:17" ht="14.25" customHeight="1" x14ac:dyDescent="0.3">
      <c r="C37" s="4"/>
      <c r="E37" s="5"/>
      <c r="F37" s="5"/>
      <c r="G37" s="5"/>
      <c r="H37" s="5"/>
      <c r="I37" s="12">
        <v>45479</v>
      </c>
      <c r="J37" s="5"/>
      <c r="K37" s="13">
        <v>0.30952546296296296</v>
      </c>
      <c r="L37" s="5" t="s">
        <v>7</v>
      </c>
      <c r="M37" s="5"/>
      <c r="N37" s="5"/>
      <c r="O37" s="11"/>
      <c r="P37" s="5"/>
      <c r="Q37" s="6"/>
    </row>
    <row r="38" spans="3:17" ht="14.25" customHeight="1" x14ac:dyDescent="0.3">
      <c r="C38" s="4"/>
      <c r="D38" s="14" t="s">
        <v>5</v>
      </c>
      <c r="E38" s="14"/>
      <c r="F38" s="5"/>
      <c r="G38" s="5"/>
      <c r="H38" s="5"/>
      <c r="I38" s="5"/>
      <c r="J38" s="5"/>
      <c r="K38" s="5"/>
      <c r="L38" s="5"/>
      <c r="M38" s="5"/>
      <c r="N38" s="5"/>
      <c r="O38" s="356" t="s">
        <v>246</v>
      </c>
      <c r="P38" s="293"/>
      <c r="Q38" s="294"/>
    </row>
    <row r="39" spans="3:17" ht="14.25" customHeight="1" x14ac:dyDescent="0.3">
      <c r="C39" s="4"/>
      <c r="D39" s="5"/>
      <c r="E39" s="5"/>
      <c r="F39" s="5"/>
      <c r="G39" s="5"/>
      <c r="H39" s="322" t="s">
        <v>247</v>
      </c>
      <c r="I39" s="323"/>
      <c r="J39" s="323"/>
      <c r="K39" s="323"/>
      <c r="L39" s="323"/>
      <c r="M39" s="324"/>
      <c r="N39" s="5"/>
      <c r="O39" s="5" t="s">
        <v>176</v>
      </c>
      <c r="P39" s="5"/>
      <c r="Q39" s="5"/>
    </row>
    <row r="40" spans="3:17" ht="14.25" customHeight="1" x14ac:dyDescent="0.3">
      <c r="C40" s="4"/>
      <c r="D40" s="14" t="s">
        <v>248</v>
      </c>
      <c r="E40" s="14"/>
      <c r="F40" s="5"/>
      <c r="G40" s="5"/>
      <c r="H40" s="357" t="s">
        <v>10</v>
      </c>
      <c r="I40" s="358"/>
      <c r="J40" s="359" t="s">
        <v>11</v>
      </c>
      <c r="K40" s="358"/>
      <c r="L40" s="360" t="s">
        <v>12</v>
      </c>
      <c r="M40" s="361"/>
      <c r="N40" s="15"/>
      <c r="O40" s="16"/>
      <c r="P40" s="5"/>
      <c r="Q40" s="6"/>
    </row>
    <row r="41" spans="3:17" ht="18" customHeight="1" x14ac:dyDescent="0.3">
      <c r="C41" s="4"/>
      <c r="D41" s="17"/>
      <c r="E41" s="17"/>
      <c r="F41" s="17"/>
      <c r="G41" s="18"/>
      <c r="H41" s="19" t="s">
        <v>13</v>
      </c>
      <c r="I41" s="20" t="s">
        <v>14</v>
      </c>
      <c r="J41" s="21" t="s">
        <v>13</v>
      </c>
      <c r="K41" s="21" t="s">
        <v>14</v>
      </c>
      <c r="L41" s="22" t="s">
        <v>13</v>
      </c>
      <c r="M41" s="23" t="s">
        <v>14</v>
      </c>
      <c r="N41" s="5"/>
      <c r="O41" s="304" t="s">
        <v>15</v>
      </c>
      <c r="P41" s="293"/>
      <c r="Q41" s="301"/>
    </row>
    <row r="42" spans="3:17" ht="18" customHeight="1" x14ac:dyDescent="0.3">
      <c r="C42" s="4"/>
      <c r="D42" s="24" t="s">
        <v>249</v>
      </c>
      <c r="E42" s="25"/>
      <c r="F42" s="17"/>
      <c r="G42" s="26" t="s">
        <v>17</v>
      </c>
      <c r="H42" s="27"/>
      <c r="I42" s="28">
        <v>67000</v>
      </c>
      <c r="J42" s="27"/>
      <c r="K42" s="28">
        <v>24000</v>
      </c>
      <c r="L42" s="29"/>
      <c r="M42" s="30">
        <v>1000</v>
      </c>
      <c r="N42" s="5"/>
      <c r="O42" s="11"/>
      <c r="Q42" s="6"/>
    </row>
    <row r="43" spans="3:17" ht="17.25" customHeight="1" x14ac:dyDescent="0.3">
      <c r="C43" s="4"/>
      <c r="D43" s="17"/>
      <c r="E43" s="17"/>
      <c r="F43" s="17"/>
      <c r="G43" s="31" t="s">
        <v>18</v>
      </c>
      <c r="H43" s="32">
        <v>3240</v>
      </c>
      <c r="I43" s="33">
        <v>14791</v>
      </c>
      <c r="J43" s="32">
        <v>1082</v>
      </c>
      <c r="K43" s="33">
        <v>5112</v>
      </c>
      <c r="L43" s="34">
        <v>51</v>
      </c>
      <c r="M43" s="35">
        <v>241</v>
      </c>
      <c r="N43" s="5"/>
      <c r="O43" s="304" t="s">
        <v>250</v>
      </c>
      <c r="P43" s="293"/>
      <c r="Q43" s="301"/>
    </row>
    <row r="44" spans="3:17" ht="14.25" customHeight="1" x14ac:dyDescent="0.3">
      <c r="C44" s="4"/>
      <c r="D44" s="14" t="s">
        <v>251</v>
      </c>
      <c r="E44" s="14"/>
      <c r="F44" s="5"/>
      <c r="G44" s="36" t="s">
        <v>21</v>
      </c>
      <c r="H44" s="37"/>
      <c r="I44" s="38">
        <f>I43/I47</f>
        <v>2958.2</v>
      </c>
      <c r="J44" s="37"/>
      <c r="K44" s="38">
        <f>K43/K47</f>
        <v>1022.4</v>
      </c>
      <c r="L44" s="39"/>
      <c r="M44" s="40">
        <f>M43/M47</f>
        <v>48.2</v>
      </c>
      <c r="N44" s="5"/>
      <c r="O44" s="11"/>
      <c r="P44" s="5"/>
      <c r="Q44" s="6"/>
    </row>
    <row r="45" spans="3:17" ht="14.25" customHeight="1" x14ac:dyDescent="0.3">
      <c r="C45" s="4"/>
      <c r="D45" s="5"/>
      <c r="E45" s="5"/>
      <c r="F45" s="5"/>
      <c r="G45" s="41" t="s">
        <v>22</v>
      </c>
      <c r="H45" s="42"/>
      <c r="I45" s="43">
        <f>I42-I43</f>
        <v>52209</v>
      </c>
      <c r="J45" s="42"/>
      <c r="K45" s="43">
        <f>K42-K43</f>
        <v>18888</v>
      </c>
      <c r="L45" s="44"/>
      <c r="M45" s="45">
        <f>M42-M43</f>
        <v>759</v>
      </c>
      <c r="N45" s="5"/>
      <c r="O45" s="304" t="s">
        <v>252</v>
      </c>
      <c r="P45" s="293"/>
      <c r="Q45" s="301"/>
    </row>
    <row r="46" spans="3:17" ht="14.25" customHeight="1" x14ac:dyDescent="0.3">
      <c r="C46" s="4"/>
      <c r="D46" s="14" t="s">
        <v>253</v>
      </c>
      <c r="E46" s="14"/>
      <c r="F46" s="5"/>
      <c r="G46" s="46" t="s">
        <v>24</v>
      </c>
      <c r="H46" s="47"/>
      <c r="I46" s="38">
        <f>I45/17</f>
        <v>3071.1176470588234</v>
      </c>
      <c r="J46" s="47"/>
      <c r="K46" s="38">
        <f>K45/17</f>
        <v>1111.0588235294117</v>
      </c>
      <c r="L46" s="39"/>
      <c r="M46" s="48">
        <f>M45/17</f>
        <v>44.647058823529413</v>
      </c>
      <c r="N46" s="5"/>
      <c r="O46" s="11"/>
      <c r="P46" s="5"/>
      <c r="Q46" s="6"/>
    </row>
    <row r="47" spans="3:17" ht="14.25" customHeight="1" x14ac:dyDescent="0.3">
      <c r="C47" s="4"/>
      <c r="D47" s="5"/>
      <c r="E47" s="5"/>
      <c r="F47" s="5"/>
      <c r="G47" s="31" t="s">
        <v>25</v>
      </c>
      <c r="H47" s="49"/>
      <c r="I47" s="49">
        <v>5</v>
      </c>
      <c r="J47" s="49"/>
      <c r="K47" s="49">
        <v>5</v>
      </c>
      <c r="L47" s="34"/>
      <c r="M47" s="35">
        <v>5</v>
      </c>
      <c r="N47" s="5"/>
      <c r="O47" s="303" t="s">
        <v>254</v>
      </c>
      <c r="P47" s="293"/>
      <c r="Q47" s="301"/>
    </row>
    <row r="48" spans="3:17" ht="14.25" customHeight="1" x14ac:dyDescent="0.3">
      <c r="C48" s="4"/>
      <c r="D48" s="14" t="s">
        <v>255</v>
      </c>
      <c r="E48" s="14"/>
      <c r="F48" s="5"/>
      <c r="G48" s="50" t="s">
        <v>27</v>
      </c>
      <c r="H48" s="27">
        <v>23.4</v>
      </c>
      <c r="I48" s="27">
        <v>23.42</v>
      </c>
      <c r="J48" s="27">
        <v>7.25</v>
      </c>
      <c r="K48" s="27">
        <v>7.9</v>
      </c>
      <c r="L48" s="29"/>
      <c r="M48" s="30"/>
      <c r="N48" s="5"/>
      <c r="O48" s="11"/>
      <c r="P48" s="5"/>
      <c r="Q48" s="6"/>
    </row>
    <row r="49" spans="3:17" ht="14.25" customHeight="1" x14ac:dyDescent="0.3">
      <c r="C49" s="4"/>
      <c r="D49" s="5"/>
      <c r="E49" s="5"/>
      <c r="F49" s="5"/>
      <c r="G49" s="31" t="s">
        <v>28</v>
      </c>
      <c r="H49" s="49">
        <v>71.12</v>
      </c>
      <c r="I49" s="49">
        <v>70.239999999999995</v>
      </c>
      <c r="J49" s="49">
        <v>126.2</v>
      </c>
      <c r="K49" s="49">
        <v>125.9</v>
      </c>
      <c r="L49" s="34"/>
      <c r="M49" s="35"/>
      <c r="N49" s="5"/>
      <c r="O49" s="303" t="s">
        <v>36</v>
      </c>
      <c r="P49" s="293"/>
      <c r="Q49" s="301"/>
    </row>
    <row r="50" spans="3:17" ht="14.25" customHeight="1" x14ac:dyDescent="0.3">
      <c r="C50" s="4"/>
      <c r="D50" s="14" t="s">
        <v>256</v>
      </c>
      <c r="E50" s="14"/>
      <c r="F50" s="5"/>
      <c r="G50" s="46" t="s">
        <v>31</v>
      </c>
      <c r="H50" s="47">
        <v>23.25</v>
      </c>
      <c r="I50" s="47">
        <v>26.24</v>
      </c>
      <c r="J50" s="47">
        <v>43.2</v>
      </c>
      <c r="K50" s="47">
        <v>42.2</v>
      </c>
      <c r="L50" s="39"/>
      <c r="M50" s="40"/>
      <c r="N50" s="5"/>
      <c r="O50" s="11"/>
      <c r="P50" s="5"/>
      <c r="Q50" s="6"/>
    </row>
    <row r="51" spans="3:17" ht="14.25" customHeight="1" x14ac:dyDescent="0.3">
      <c r="C51" s="4"/>
      <c r="D51" s="5"/>
      <c r="E51" s="5"/>
      <c r="F51" s="5"/>
      <c r="G51" s="52" t="s">
        <v>32</v>
      </c>
      <c r="H51" s="53">
        <v>3.12</v>
      </c>
      <c r="I51" s="53">
        <v>3.01</v>
      </c>
      <c r="J51" s="53">
        <v>5.12</v>
      </c>
      <c r="K51" s="53">
        <v>5.2</v>
      </c>
      <c r="L51" s="44"/>
      <c r="M51" s="45"/>
      <c r="N51" s="5"/>
      <c r="O51" s="303" t="s">
        <v>37</v>
      </c>
      <c r="P51" s="293"/>
      <c r="Q51" s="301"/>
    </row>
    <row r="52" spans="3:17" ht="14.25" customHeight="1" x14ac:dyDescent="0.3">
      <c r="C52" s="4"/>
      <c r="D52" s="14" t="s">
        <v>257</v>
      </c>
      <c r="E52" s="14"/>
      <c r="F52" s="5"/>
      <c r="G52" s="46" t="s">
        <v>34</v>
      </c>
      <c r="H52" s="39"/>
      <c r="I52" s="39"/>
      <c r="J52" s="39"/>
      <c r="K52" s="39"/>
      <c r="L52" s="39"/>
      <c r="M52" s="40"/>
      <c r="N52" s="5"/>
      <c r="O52" s="11"/>
      <c r="P52" s="5"/>
      <c r="Q52" s="6"/>
    </row>
    <row r="53" spans="3:17" ht="14.25" customHeight="1" x14ac:dyDescent="0.3">
      <c r="C53" s="4"/>
      <c r="D53" s="5"/>
      <c r="E53" s="5"/>
      <c r="F53" s="5"/>
      <c r="G53" s="54" t="s">
        <v>35</v>
      </c>
      <c r="H53" s="55">
        <v>1371</v>
      </c>
      <c r="I53" s="55">
        <v>7058</v>
      </c>
      <c r="J53" s="55">
        <v>546</v>
      </c>
      <c r="K53" s="55">
        <v>2691</v>
      </c>
      <c r="L53" s="55"/>
      <c r="M53" s="56"/>
      <c r="N53" s="5"/>
      <c r="O53" s="11"/>
      <c r="P53" s="5"/>
      <c r="Q53" s="6"/>
    </row>
    <row r="54" spans="3:17" ht="14.25" customHeight="1" x14ac:dyDescent="0.3">
      <c r="C54" s="4"/>
      <c r="D54" s="14" t="s">
        <v>258</v>
      </c>
      <c r="E54" s="14"/>
      <c r="F54" s="5"/>
      <c r="G54" s="5"/>
      <c r="H54" s="5"/>
      <c r="I54" s="5"/>
      <c r="J54" s="5"/>
      <c r="K54" s="5"/>
      <c r="L54" s="5"/>
      <c r="M54" s="5"/>
      <c r="N54" s="5"/>
      <c r="O54" s="11"/>
      <c r="P54" s="5"/>
      <c r="Q54" s="6"/>
    </row>
    <row r="55" spans="3:17" ht="14.25" customHeight="1" x14ac:dyDescent="0.3">
      <c r="C55" s="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1"/>
      <c r="P55" s="5"/>
      <c r="Q55" s="6"/>
    </row>
    <row r="56" spans="3:17" ht="14.25" customHeight="1" x14ac:dyDescent="0.3">
      <c r="C56" s="4"/>
      <c r="D56" s="14" t="s">
        <v>259</v>
      </c>
      <c r="E56" s="14"/>
      <c r="F56" s="5"/>
      <c r="H56" s="362" t="s">
        <v>38</v>
      </c>
      <c r="I56" s="294"/>
      <c r="J56" s="363" t="s">
        <v>39</v>
      </c>
      <c r="K56" s="294"/>
      <c r="L56" s="5"/>
      <c r="M56" s="5"/>
      <c r="N56" s="5"/>
      <c r="O56" s="11"/>
      <c r="P56" s="5"/>
      <c r="Q56" s="6"/>
    </row>
    <row r="57" spans="3:17" ht="14.25" customHeight="1" x14ac:dyDescent="0.3">
      <c r="C57" s="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1"/>
      <c r="P57" s="51" t="s">
        <v>29</v>
      </c>
      <c r="Q57" s="6"/>
    </row>
    <row r="58" spans="3:17" ht="14.25" customHeight="1" x14ac:dyDescent="0.3"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57"/>
      <c r="P58" s="8"/>
      <c r="Q58" s="9"/>
    </row>
    <row r="59" spans="3:17" ht="14.25" customHeight="1" x14ac:dyDescent="0.3"/>
    <row r="60" spans="3:17" ht="14.25" customHeight="1" x14ac:dyDescent="0.3"/>
    <row r="61" spans="3:17" ht="14.25" customHeight="1" x14ac:dyDescent="0.3"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3"/>
    </row>
    <row r="62" spans="3:17" ht="14.25" customHeight="1" x14ac:dyDescent="0.45">
      <c r="C62" s="353" t="s">
        <v>0</v>
      </c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3"/>
      <c r="P62" s="293"/>
      <c r="Q62" s="301"/>
    </row>
    <row r="63" spans="3:17" ht="14.25" customHeight="1" x14ac:dyDescent="0.35">
      <c r="C63" s="4"/>
      <c r="D63" s="354" t="s">
        <v>260</v>
      </c>
      <c r="E63" s="293"/>
      <c r="F63" s="294"/>
      <c r="G63" s="5"/>
      <c r="H63" s="5"/>
      <c r="I63" s="355" t="s">
        <v>5</v>
      </c>
      <c r="J63" s="293"/>
      <c r="K63" s="294"/>
      <c r="L63" s="5"/>
      <c r="M63" s="5"/>
      <c r="N63" s="5"/>
      <c r="O63" s="5"/>
      <c r="P63" s="5"/>
      <c r="Q63" s="6"/>
    </row>
    <row r="64" spans="3:17" ht="14.25" customHeight="1" x14ac:dyDescent="0.35">
      <c r="C64" s="4"/>
      <c r="D64" s="10" t="s">
        <v>6</v>
      </c>
      <c r="E64" s="10"/>
      <c r="F64" s="10"/>
      <c r="G64" s="5"/>
      <c r="H64" s="5"/>
      <c r="I64" s="5"/>
      <c r="J64" s="5"/>
      <c r="K64" s="5"/>
      <c r="L64" s="5"/>
      <c r="M64" s="5"/>
      <c r="N64" s="5"/>
      <c r="O64" s="11"/>
      <c r="P64" s="5"/>
      <c r="Q64" s="6"/>
    </row>
    <row r="65" spans="3:17" ht="14.25" customHeight="1" x14ac:dyDescent="0.3">
      <c r="C65" s="4"/>
      <c r="E65" s="5"/>
      <c r="F65" s="5"/>
      <c r="G65" s="5"/>
      <c r="H65" s="5"/>
      <c r="I65" s="12">
        <v>45479</v>
      </c>
      <c r="J65" s="5"/>
      <c r="K65" s="13">
        <v>0.30952546296296296</v>
      </c>
      <c r="L65" s="5" t="s">
        <v>7</v>
      </c>
      <c r="M65" s="5"/>
      <c r="N65" s="5"/>
      <c r="O65" s="11"/>
      <c r="P65" s="5"/>
      <c r="Q65" s="6"/>
    </row>
    <row r="66" spans="3:17" ht="14.25" customHeight="1" x14ac:dyDescent="0.3">
      <c r="C66" s="4"/>
      <c r="D66" s="14" t="s">
        <v>8</v>
      </c>
      <c r="E66" s="14"/>
      <c r="F66" s="5"/>
      <c r="G66" s="5"/>
      <c r="H66" s="5"/>
      <c r="I66" s="5"/>
      <c r="J66" s="5"/>
      <c r="K66" s="5"/>
      <c r="L66" s="5"/>
      <c r="M66" s="5"/>
      <c r="N66" s="5"/>
      <c r="O66" s="356" t="s">
        <v>246</v>
      </c>
      <c r="P66" s="293"/>
      <c r="Q66" s="294"/>
    </row>
    <row r="67" spans="3:17" ht="14.25" customHeight="1" x14ac:dyDescent="0.3">
      <c r="C67" s="4"/>
      <c r="D67" s="5"/>
      <c r="E67" s="5"/>
      <c r="F67" s="5"/>
      <c r="G67" s="5"/>
      <c r="H67" s="322" t="s">
        <v>261</v>
      </c>
      <c r="I67" s="323"/>
      <c r="J67" s="323"/>
      <c r="K67" s="323"/>
      <c r="L67" s="323"/>
      <c r="M67" s="324"/>
      <c r="N67" s="5"/>
      <c r="O67" s="5" t="s">
        <v>176</v>
      </c>
      <c r="P67" s="5"/>
      <c r="Q67" s="5"/>
    </row>
    <row r="68" spans="3:17" ht="14.25" customHeight="1" x14ac:dyDescent="0.3">
      <c r="C68" s="4"/>
      <c r="D68" s="14" t="s">
        <v>9</v>
      </c>
      <c r="E68" s="14"/>
      <c r="F68" s="5"/>
      <c r="G68" s="5"/>
      <c r="H68" s="357" t="s">
        <v>10</v>
      </c>
      <c r="I68" s="358"/>
      <c r="J68" s="359" t="s">
        <v>11</v>
      </c>
      <c r="K68" s="358"/>
      <c r="L68" s="360" t="s">
        <v>12</v>
      </c>
      <c r="M68" s="361"/>
      <c r="N68" s="15"/>
      <c r="O68" s="16"/>
      <c r="P68" s="5"/>
      <c r="Q68" s="6"/>
    </row>
    <row r="69" spans="3:17" ht="17.25" customHeight="1" x14ac:dyDescent="0.3">
      <c r="C69" s="4"/>
      <c r="D69" s="17"/>
      <c r="E69" s="17"/>
      <c r="F69" s="17"/>
      <c r="G69" s="18"/>
      <c r="H69" s="19" t="s">
        <v>13</v>
      </c>
      <c r="I69" s="20" t="s">
        <v>14</v>
      </c>
      <c r="J69" s="21" t="s">
        <v>13</v>
      </c>
      <c r="K69" s="21" t="s">
        <v>14</v>
      </c>
      <c r="L69" s="22" t="s">
        <v>13</v>
      </c>
      <c r="M69" s="23" t="s">
        <v>14</v>
      </c>
      <c r="N69" s="5"/>
      <c r="O69" s="304" t="s">
        <v>15</v>
      </c>
      <c r="P69" s="293"/>
      <c r="Q69" s="301"/>
    </row>
    <row r="70" spans="3:17" ht="18" customHeight="1" x14ac:dyDescent="0.3">
      <c r="C70" s="4"/>
      <c r="D70" s="24" t="s">
        <v>16</v>
      </c>
      <c r="E70" s="25"/>
      <c r="F70" s="17"/>
      <c r="G70" s="26" t="s">
        <v>17</v>
      </c>
      <c r="H70" s="27"/>
      <c r="I70" s="28">
        <v>30000</v>
      </c>
      <c r="J70" s="27"/>
      <c r="K70" s="28">
        <v>12000</v>
      </c>
      <c r="L70" s="29"/>
      <c r="M70" s="30">
        <v>445</v>
      </c>
      <c r="N70" s="5"/>
      <c r="O70" s="11"/>
      <c r="Q70" s="6"/>
    </row>
    <row r="71" spans="3:17" ht="21" customHeight="1" x14ac:dyDescent="0.3">
      <c r="C71" s="4"/>
      <c r="D71" s="17"/>
      <c r="E71" s="17"/>
      <c r="F71" s="17"/>
      <c r="G71" s="31" t="s">
        <v>18</v>
      </c>
      <c r="H71" s="32">
        <v>1381</v>
      </c>
      <c r="I71" s="33">
        <v>7182</v>
      </c>
      <c r="J71" s="32">
        <v>562</v>
      </c>
      <c r="K71" s="33">
        <v>2740</v>
      </c>
      <c r="L71" s="34">
        <v>22</v>
      </c>
      <c r="M71" s="35">
        <v>110</v>
      </c>
      <c r="N71" s="5"/>
      <c r="O71" s="11"/>
      <c r="P71" s="5"/>
      <c r="Q71" s="6"/>
    </row>
    <row r="72" spans="3:17" ht="14.25" customHeight="1" x14ac:dyDescent="0.3">
      <c r="C72" s="4"/>
      <c r="D72" s="14" t="s">
        <v>20</v>
      </c>
      <c r="E72" s="14"/>
      <c r="F72" s="5"/>
      <c r="G72" s="36" t="s">
        <v>21</v>
      </c>
      <c r="H72" s="37"/>
      <c r="I72" s="38">
        <f>7182/5</f>
        <v>1436.4</v>
      </c>
      <c r="J72" s="37"/>
      <c r="K72" s="38">
        <v>548</v>
      </c>
      <c r="L72" s="39"/>
      <c r="M72" s="40">
        <v>22</v>
      </c>
      <c r="N72" s="5"/>
      <c r="O72" s="11"/>
      <c r="P72" s="5"/>
      <c r="Q72" s="6"/>
    </row>
    <row r="73" spans="3:17" ht="14.25" customHeight="1" x14ac:dyDescent="0.3">
      <c r="C73" s="4"/>
      <c r="D73" s="5"/>
      <c r="E73" s="5"/>
      <c r="F73" s="5"/>
      <c r="G73" s="41" t="s">
        <v>22</v>
      </c>
      <c r="H73" s="42"/>
      <c r="I73" s="43">
        <f>I70-I71</f>
        <v>22818</v>
      </c>
      <c r="J73" s="42"/>
      <c r="K73" s="43">
        <f>K70-K71</f>
        <v>9260</v>
      </c>
      <c r="L73" s="44"/>
      <c r="M73" s="45">
        <f>M70-M71</f>
        <v>335</v>
      </c>
      <c r="N73" s="5"/>
      <c r="O73" s="11"/>
      <c r="P73" s="5"/>
      <c r="Q73" s="6"/>
    </row>
    <row r="74" spans="3:17" ht="14.25" customHeight="1" x14ac:dyDescent="0.3">
      <c r="C74" s="4"/>
      <c r="D74" s="14" t="s">
        <v>23</v>
      </c>
      <c r="E74" s="14"/>
      <c r="F74" s="5"/>
      <c r="G74" s="46" t="s">
        <v>24</v>
      </c>
      <c r="H74" s="47"/>
      <c r="I74" s="38">
        <f>I73/17</f>
        <v>1342.2352941176471</v>
      </c>
      <c r="J74" s="47"/>
      <c r="K74" s="38">
        <f>K73/17</f>
        <v>544.70588235294122</v>
      </c>
      <c r="L74" s="39"/>
      <c r="M74" s="48">
        <f>M73/17</f>
        <v>19.705882352941178</v>
      </c>
      <c r="N74" s="5"/>
      <c r="O74" s="11"/>
      <c r="P74" s="5"/>
      <c r="Q74" s="6"/>
    </row>
    <row r="75" spans="3:17" ht="14.25" customHeight="1" x14ac:dyDescent="0.3">
      <c r="C75" s="4"/>
      <c r="D75" s="5"/>
      <c r="E75" s="5"/>
      <c r="F75" s="5"/>
      <c r="G75" s="31" t="s">
        <v>25</v>
      </c>
      <c r="H75" s="49"/>
      <c r="I75" s="49">
        <v>5</v>
      </c>
      <c r="J75" s="49"/>
      <c r="K75" s="49">
        <v>5</v>
      </c>
      <c r="L75" s="34"/>
      <c r="M75" s="35">
        <v>5</v>
      </c>
      <c r="N75" s="5"/>
      <c r="O75" s="11"/>
      <c r="P75" s="81" t="s">
        <v>78</v>
      </c>
      <c r="Q75" s="6"/>
    </row>
    <row r="76" spans="3:17" ht="14.25" customHeight="1" x14ac:dyDescent="0.3">
      <c r="C76" s="4"/>
      <c r="D76" s="14" t="s">
        <v>26</v>
      </c>
      <c r="E76" s="14"/>
      <c r="F76" s="5"/>
      <c r="G76" s="50" t="s">
        <v>27</v>
      </c>
      <c r="H76" s="27">
        <v>23.4</v>
      </c>
      <c r="I76" s="27">
        <v>23.42</v>
      </c>
      <c r="J76" s="27">
        <v>7.25</v>
      </c>
      <c r="K76" s="27">
        <v>7.9</v>
      </c>
      <c r="L76" s="29"/>
      <c r="M76" s="30"/>
      <c r="N76" s="5"/>
      <c r="O76" s="11"/>
      <c r="P76" s="5"/>
      <c r="Q76" s="6"/>
    </row>
    <row r="77" spans="3:17" ht="14.25" customHeight="1" x14ac:dyDescent="0.3">
      <c r="C77" s="4"/>
      <c r="D77" s="5"/>
      <c r="E77" s="5"/>
      <c r="F77" s="5"/>
      <c r="G77" s="31" t="s">
        <v>28</v>
      </c>
      <c r="H77" s="49">
        <v>71.12</v>
      </c>
      <c r="I77" s="49">
        <v>70.239999999999995</v>
      </c>
      <c r="J77" s="49">
        <v>126.2</v>
      </c>
      <c r="K77" s="49">
        <v>125.9</v>
      </c>
      <c r="L77" s="34"/>
      <c r="M77" s="35"/>
      <c r="N77" s="5"/>
      <c r="O77" s="11"/>
      <c r="P77" s="51" t="s">
        <v>29</v>
      </c>
      <c r="Q77" s="6"/>
    </row>
    <row r="78" spans="3:17" ht="14.25" customHeight="1" x14ac:dyDescent="0.3">
      <c r="C78" s="4"/>
      <c r="D78" s="14" t="s">
        <v>262</v>
      </c>
      <c r="E78" s="14"/>
      <c r="F78" s="5"/>
      <c r="G78" s="46" t="s">
        <v>31</v>
      </c>
      <c r="H78" s="47">
        <v>23.25</v>
      </c>
      <c r="I78" s="47">
        <v>26.24</v>
      </c>
      <c r="J78" s="47">
        <v>43.2</v>
      </c>
      <c r="K78" s="47">
        <v>42.2</v>
      </c>
      <c r="L78" s="39"/>
      <c r="M78" s="40"/>
      <c r="N78" s="5"/>
      <c r="O78" s="11"/>
      <c r="P78" s="5"/>
      <c r="Q78" s="6"/>
    </row>
    <row r="79" spans="3:17" ht="14.25" customHeight="1" x14ac:dyDescent="0.3">
      <c r="C79" s="4"/>
      <c r="D79" s="5"/>
      <c r="E79" s="5"/>
      <c r="F79" s="5"/>
      <c r="G79" s="52" t="s">
        <v>32</v>
      </c>
      <c r="H79" s="53">
        <v>3.12</v>
      </c>
      <c r="I79" s="53">
        <v>3.01</v>
      </c>
      <c r="J79" s="53">
        <v>5.12</v>
      </c>
      <c r="K79" s="53">
        <v>5.2</v>
      </c>
      <c r="L79" s="44"/>
      <c r="M79" s="45"/>
      <c r="N79" s="5"/>
      <c r="O79" s="11"/>
      <c r="P79" s="5"/>
      <c r="Q79" s="6"/>
    </row>
    <row r="80" spans="3:17" ht="14.25" customHeight="1" x14ac:dyDescent="0.3">
      <c r="C80" s="4"/>
      <c r="D80" s="14" t="s">
        <v>257</v>
      </c>
      <c r="E80" s="14"/>
      <c r="F80" s="5"/>
      <c r="G80" s="46" t="s">
        <v>34</v>
      </c>
      <c r="H80" s="39"/>
      <c r="I80" s="39"/>
      <c r="J80" s="39"/>
      <c r="K80" s="39"/>
      <c r="L80" s="39"/>
      <c r="M80" s="40"/>
      <c r="N80" s="5"/>
      <c r="O80" s="11"/>
      <c r="P80" s="5"/>
      <c r="Q80" s="6"/>
    </row>
    <row r="81" spans="3:17" ht="14.25" customHeight="1" x14ac:dyDescent="0.3">
      <c r="C81" s="4"/>
      <c r="D81" s="5"/>
      <c r="E81" s="5"/>
      <c r="F81" s="5"/>
      <c r="G81" s="54" t="s">
        <v>35</v>
      </c>
      <c r="H81" s="55">
        <v>1371</v>
      </c>
      <c r="I81" s="55">
        <v>7058</v>
      </c>
      <c r="J81" s="55">
        <v>546</v>
      </c>
      <c r="K81" s="55">
        <v>2691</v>
      </c>
      <c r="L81" s="55"/>
      <c r="M81" s="56"/>
      <c r="N81" s="5"/>
      <c r="O81" s="11"/>
      <c r="P81" s="5"/>
      <c r="Q81" s="6"/>
    </row>
    <row r="82" spans="3:17" ht="14.25" customHeight="1" x14ac:dyDescent="0.3">
      <c r="C82" s="4"/>
      <c r="D82" s="14" t="s">
        <v>258</v>
      </c>
      <c r="E82" s="14"/>
      <c r="F82" s="5"/>
      <c r="G82" s="5"/>
      <c r="H82" s="5"/>
      <c r="I82" s="5"/>
      <c r="J82" s="5"/>
      <c r="K82" s="5"/>
      <c r="L82" s="5"/>
      <c r="M82" s="5"/>
      <c r="N82" s="5"/>
      <c r="O82" s="11"/>
      <c r="P82" s="5"/>
      <c r="Q82" s="6"/>
    </row>
    <row r="83" spans="3:17" ht="14.25" customHeight="1" x14ac:dyDescent="0.3">
      <c r="C83" s="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1"/>
      <c r="P83" s="5"/>
      <c r="Q83" s="6"/>
    </row>
    <row r="84" spans="3:17" ht="14.25" customHeight="1" x14ac:dyDescent="0.3">
      <c r="C84" s="4"/>
      <c r="D84" s="14" t="s">
        <v>19</v>
      </c>
      <c r="E84" s="14"/>
      <c r="F84" s="5"/>
      <c r="H84" s="362" t="s">
        <v>38</v>
      </c>
      <c r="I84" s="294"/>
      <c r="J84" s="363" t="s">
        <v>39</v>
      </c>
      <c r="K84" s="294"/>
      <c r="L84" s="5"/>
      <c r="M84" s="5"/>
      <c r="N84" s="5"/>
      <c r="O84" s="11"/>
      <c r="P84" s="5"/>
      <c r="Q84" s="6"/>
    </row>
    <row r="85" spans="3:17" ht="14.25" customHeight="1" x14ac:dyDescent="0.3">
      <c r="C85" s="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1"/>
      <c r="P85" s="5"/>
      <c r="Q85" s="6"/>
    </row>
    <row r="86" spans="3:17" ht="14.25" customHeight="1" x14ac:dyDescent="0.3"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57"/>
      <c r="P86" s="8"/>
      <c r="Q86" s="9"/>
    </row>
    <row r="87" spans="3:17" ht="14.25" customHeight="1" x14ac:dyDescent="0.3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3:17" ht="14.25" customHeight="1" x14ac:dyDescent="0.3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3:17" ht="14.25" customHeight="1" x14ac:dyDescent="0.3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3:17" ht="14.25" customHeight="1" x14ac:dyDescent="0.3"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3"/>
    </row>
    <row r="91" spans="3:17" ht="14.25" customHeight="1" x14ac:dyDescent="0.35">
      <c r="C91" s="300" t="s">
        <v>0</v>
      </c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293"/>
      <c r="P91" s="293"/>
      <c r="Q91" s="301"/>
    </row>
    <row r="92" spans="3:17" ht="14.25" customHeight="1" x14ac:dyDescent="0.3">
      <c r="C92" s="305" t="s">
        <v>5</v>
      </c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301"/>
    </row>
    <row r="93" spans="3:17" ht="14.25" customHeight="1" x14ac:dyDescent="0.45">
      <c r="C93" s="306" t="s">
        <v>9</v>
      </c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301"/>
    </row>
    <row r="94" spans="3:17" ht="14.25" customHeight="1" x14ac:dyDescent="0.3">
      <c r="C94" s="307"/>
      <c r="D94" s="294"/>
      <c r="E94" s="5"/>
      <c r="F94" s="5"/>
      <c r="G94" s="5"/>
      <c r="H94" s="5"/>
      <c r="I94" s="5" t="s">
        <v>263</v>
      </c>
      <c r="J94" s="5"/>
      <c r="K94" s="5"/>
      <c r="L94" s="5" t="s">
        <v>264</v>
      </c>
      <c r="M94" s="5"/>
      <c r="N94" s="5"/>
      <c r="O94" s="11"/>
      <c r="P94" s="5"/>
      <c r="Q94" s="6"/>
    </row>
    <row r="95" spans="3:17" ht="14.25" customHeight="1" x14ac:dyDescent="0.3">
      <c r="C95" s="368" t="s">
        <v>82</v>
      </c>
      <c r="D95" s="369"/>
      <c r="E95" s="369"/>
      <c r="F95" s="370"/>
      <c r="G95" s="84" t="s">
        <v>45</v>
      </c>
      <c r="H95" s="84"/>
      <c r="I95" s="84"/>
      <c r="J95" s="84"/>
      <c r="K95" s="84"/>
      <c r="L95" s="84"/>
      <c r="M95" s="84"/>
      <c r="N95" s="192"/>
      <c r="O95" s="5"/>
      <c r="P95" s="5"/>
      <c r="Q95" s="6"/>
    </row>
    <row r="96" spans="3:17" ht="14.25" customHeight="1" x14ac:dyDescent="0.3">
      <c r="C96" s="335" t="s">
        <v>84</v>
      </c>
      <c r="D96" s="309"/>
      <c r="E96" s="86" t="s">
        <v>46</v>
      </c>
      <c r="F96" s="87" t="s">
        <v>85</v>
      </c>
      <c r="G96" s="339" t="s">
        <v>86</v>
      </c>
      <c r="H96" s="340"/>
      <c r="I96" s="5"/>
      <c r="J96" s="5"/>
      <c r="K96" s="5"/>
      <c r="L96" s="5"/>
      <c r="M96" s="5"/>
      <c r="N96" s="5"/>
      <c r="O96" s="321" t="s">
        <v>246</v>
      </c>
      <c r="P96" s="293"/>
      <c r="Q96" s="301"/>
    </row>
    <row r="97" spans="3:17" ht="14.25" customHeight="1" x14ac:dyDescent="0.3">
      <c r="C97" s="336" t="s">
        <v>49</v>
      </c>
      <c r="D97" s="309"/>
      <c r="E97" s="88" t="s">
        <v>66</v>
      </c>
      <c r="F97" s="89">
        <v>15</v>
      </c>
      <c r="G97" s="5"/>
      <c r="H97" s="5"/>
      <c r="I97" s="5"/>
      <c r="J97" s="5"/>
      <c r="K97" s="5"/>
      <c r="L97" s="5"/>
      <c r="M97" s="5"/>
      <c r="N97" s="5"/>
      <c r="O97" s="321" t="s">
        <v>176</v>
      </c>
      <c r="P97" s="293"/>
      <c r="Q97" s="301"/>
    </row>
    <row r="98" spans="3:17" ht="14.25" customHeight="1" x14ac:dyDescent="0.3">
      <c r="C98" s="337"/>
      <c r="D98" s="309"/>
      <c r="E98" s="90">
        <v>5</v>
      </c>
      <c r="F98" s="91">
        <v>6</v>
      </c>
      <c r="G98" s="70"/>
      <c r="H98" s="70"/>
      <c r="I98" s="5"/>
      <c r="J98" s="5"/>
      <c r="K98" s="5"/>
      <c r="L98" s="5"/>
      <c r="M98" s="5"/>
      <c r="N98" s="5"/>
      <c r="O98" s="11"/>
      <c r="P98" s="5"/>
      <c r="Q98" s="6"/>
    </row>
    <row r="99" spans="3:17" ht="14.25" customHeight="1" x14ac:dyDescent="0.3">
      <c r="C99" s="338" t="s">
        <v>87</v>
      </c>
      <c r="D99" s="315"/>
      <c r="E99" s="309"/>
      <c r="F99" s="92">
        <f>SUM(F97:F98)</f>
        <v>21</v>
      </c>
      <c r="G99" s="70"/>
      <c r="H99" s="70"/>
      <c r="I99" s="5"/>
      <c r="J99" s="5"/>
      <c r="K99" s="5"/>
      <c r="L99" s="5"/>
      <c r="M99" s="5"/>
      <c r="N99" s="5"/>
      <c r="O99" s="304" t="s">
        <v>15</v>
      </c>
      <c r="P99" s="293"/>
      <c r="Q99" s="301"/>
    </row>
    <row r="100" spans="3:17" ht="14.25" customHeight="1" x14ac:dyDescent="0.3">
      <c r="C100" s="336" t="s">
        <v>56</v>
      </c>
      <c r="D100" s="309"/>
      <c r="E100" s="93">
        <v>9</v>
      </c>
      <c r="F100" s="94">
        <v>3</v>
      </c>
      <c r="G100" s="70"/>
      <c r="H100" s="70"/>
      <c r="I100" s="5"/>
      <c r="J100" s="5"/>
      <c r="K100" s="5"/>
      <c r="L100" s="5"/>
      <c r="M100" s="5"/>
      <c r="N100" s="5"/>
      <c r="O100" s="11"/>
      <c r="P100" s="5"/>
      <c r="Q100" s="6"/>
    </row>
    <row r="101" spans="3:17" ht="14.25" customHeight="1" x14ac:dyDescent="0.3">
      <c r="C101" s="336" t="s">
        <v>88</v>
      </c>
      <c r="D101" s="309"/>
      <c r="E101" s="95"/>
      <c r="F101" s="96">
        <v>1</v>
      </c>
      <c r="G101" s="339" t="s">
        <v>89</v>
      </c>
      <c r="H101" s="340"/>
      <c r="I101" s="5"/>
      <c r="J101" s="5"/>
      <c r="K101" s="5"/>
      <c r="L101" s="5"/>
      <c r="M101" s="5"/>
      <c r="N101" s="5"/>
      <c r="O101" s="304" t="s">
        <v>262</v>
      </c>
      <c r="P101" s="293"/>
      <c r="Q101" s="301"/>
    </row>
    <row r="102" spans="3:17" ht="14.25" customHeight="1" x14ac:dyDescent="0.3">
      <c r="C102" s="336" t="s">
        <v>90</v>
      </c>
      <c r="D102" s="309"/>
      <c r="E102" s="95">
        <v>1</v>
      </c>
      <c r="F102" s="96">
        <v>3</v>
      </c>
      <c r="G102" s="5"/>
      <c r="H102" s="5"/>
      <c r="I102" s="5"/>
      <c r="J102" s="5"/>
      <c r="K102" s="5"/>
      <c r="L102" s="5"/>
      <c r="M102" s="5"/>
      <c r="N102" s="5"/>
      <c r="O102" s="11"/>
      <c r="P102" s="5"/>
      <c r="Q102" s="6"/>
    </row>
    <row r="103" spans="3:17" ht="14.25" customHeight="1" x14ac:dyDescent="0.3">
      <c r="C103" s="338" t="s">
        <v>91</v>
      </c>
      <c r="D103" s="315"/>
      <c r="E103" s="309"/>
      <c r="F103" s="97">
        <f>SUM(F99:F102)</f>
        <v>28</v>
      </c>
      <c r="G103" s="5"/>
      <c r="H103" s="5"/>
      <c r="I103" s="5"/>
      <c r="J103" s="5"/>
      <c r="K103" s="5"/>
      <c r="L103" s="5"/>
      <c r="M103" s="5"/>
      <c r="N103" s="5"/>
      <c r="O103" s="303" t="s">
        <v>38</v>
      </c>
      <c r="P103" s="293"/>
      <c r="Q103" s="301"/>
    </row>
    <row r="104" spans="3:17" ht="14.25" customHeight="1" x14ac:dyDescent="0.3">
      <c r="C104" s="341" t="s">
        <v>92</v>
      </c>
      <c r="D104" s="309"/>
      <c r="E104" s="98" t="s">
        <v>93</v>
      </c>
      <c r="F104" s="99">
        <v>12</v>
      </c>
      <c r="G104" s="5"/>
      <c r="H104" s="5"/>
      <c r="I104" s="5"/>
      <c r="J104" s="5"/>
      <c r="K104" s="5"/>
      <c r="L104" s="5"/>
      <c r="M104" s="5"/>
      <c r="N104" s="5"/>
      <c r="O104" s="11"/>
      <c r="P104" s="5"/>
      <c r="Q104" s="6"/>
    </row>
    <row r="105" spans="3:17" ht="14.25" customHeight="1" x14ac:dyDescent="0.3">
      <c r="C105" s="342"/>
      <c r="D105" s="309"/>
      <c r="E105" s="98" t="s">
        <v>94</v>
      </c>
      <c r="F105" s="99">
        <v>7</v>
      </c>
      <c r="G105" s="5"/>
      <c r="H105" s="5"/>
      <c r="I105" s="5"/>
      <c r="J105" s="5"/>
      <c r="K105" s="5"/>
      <c r="L105" s="5"/>
      <c r="M105" s="5"/>
      <c r="N105" s="5"/>
      <c r="O105" s="304" t="s">
        <v>62</v>
      </c>
      <c r="P105" s="293"/>
      <c r="Q105" s="301"/>
    </row>
    <row r="106" spans="3:17" ht="14.25" customHeight="1" x14ac:dyDescent="0.3">
      <c r="C106" s="342"/>
      <c r="D106" s="309"/>
      <c r="E106" s="98" t="s">
        <v>95</v>
      </c>
      <c r="F106" s="99">
        <v>4</v>
      </c>
      <c r="G106" s="84" t="s">
        <v>56</v>
      </c>
      <c r="H106" s="84"/>
      <c r="I106" s="84"/>
      <c r="J106" s="84"/>
      <c r="K106" s="84"/>
      <c r="L106" s="84"/>
      <c r="M106" s="84"/>
      <c r="N106" s="192"/>
      <c r="O106" s="5"/>
      <c r="P106" s="5"/>
      <c r="Q106" s="6"/>
    </row>
    <row r="107" spans="3:17" ht="14.25" customHeight="1" x14ac:dyDescent="0.3">
      <c r="C107" s="343" t="s">
        <v>96</v>
      </c>
      <c r="D107" s="309"/>
      <c r="E107" s="100"/>
      <c r="F107" s="101">
        <f>SUM(F104:F106)</f>
        <v>23</v>
      </c>
      <c r="G107" s="339" t="s">
        <v>97</v>
      </c>
      <c r="H107" s="340"/>
      <c r="I107" s="5"/>
      <c r="J107" s="5"/>
      <c r="K107" s="5"/>
      <c r="L107" s="5"/>
      <c r="M107" s="5"/>
      <c r="N107" s="5"/>
      <c r="O107" s="426" t="s">
        <v>39</v>
      </c>
      <c r="P107" s="293"/>
      <c r="Q107" s="301"/>
    </row>
    <row r="108" spans="3:17" ht="14.25" customHeight="1" x14ac:dyDescent="0.3">
      <c r="C108" s="342" t="s">
        <v>98</v>
      </c>
      <c r="D108" s="309"/>
      <c r="E108" s="98" t="s">
        <v>99</v>
      </c>
      <c r="F108" s="99">
        <v>6</v>
      </c>
      <c r="G108" s="5"/>
      <c r="H108" s="5"/>
      <c r="I108" s="5"/>
      <c r="J108" s="5"/>
      <c r="K108" s="5"/>
      <c r="L108" s="5"/>
      <c r="M108" s="5"/>
      <c r="N108" s="5"/>
      <c r="O108" s="11"/>
      <c r="P108" s="5"/>
      <c r="Q108" s="6"/>
    </row>
    <row r="109" spans="3:17" ht="14.25" customHeight="1" x14ac:dyDescent="0.3">
      <c r="C109" s="342" t="s">
        <v>88</v>
      </c>
      <c r="D109" s="309"/>
      <c r="E109" s="98"/>
      <c r="F109" s="99">
        <v>2</v>
      </c>
      <c r="G109" s="5"/>
      <c r="H109" s="5"/>
      <c r="I109" s="5"/>
      <c r="J109" s="5"/>
      <c r="K109" s="5"/>
      <c r="L109" s="5"/>
      <c r="M109" s="5"/>
      <c r="N109" s="5"/>
      <c r="O109" s="11"/>
      <c r="P109" s="193" t="s">
        <v>265</v>
      </c>
      <c r="Q109" s="6"/>
    </row>
    <row r="110" spans="3:17" ht="14.25" customHeight="1" x14ac:dyDescent="0.3">
      <c r="C110" s="343" t="s">
        <v>101</v>
      </c>
      <c r="D110" s="309"/>
      <c r="E110" s="100"/>
      <c r="F110" s="101">
        <f>SUM(F107:F109)</f>
        <v>31</v>
      </c>
      <c r="G110" s="5"/>
      <c r="H110" s="5"/>
      <c r="I110" s="5"/>
      <c r="J110" s="5"/>
      <c r="K110" s="5"/>
      <c r="L110" s="5"/>
      <c r="M110" s="5"/>
      <c r="N110" s="5"/>
      <c r="O110" s="11"/>
      <c r="P110" s="5"/>
      <c r="Q110" s="6"/>
    </row>
    <row r="111" spans="3:17" ht="14.25" customHeight="1" x14ac:dyDescent="0.3">
      <c r="C111" s="371" t="s">
        <v>102</v>
      </c>
      <c r="D111" s="309"/>
      <c r="E111" s="103"/>
      <c r="F111" s="104">
        <v>1</v>
      </c>
      <c r="G111" s="5"/>
      <c r="H111" s="5"/>
      <c r="I111" s="5"/>
      <c r="J111" s="5"/>
      <c r="K111" s="5"/>
      <c r="L111" s="5"/>
      <c r="M111" s="5"/>
      <c r="N111" s="5"/>
      <c r="O111" s="11"/>
      <c r="P111" s="102" t="s">
        <v>266</v>
      </c>
      <c r="Q111" s="6"/>
    </row>
    <row r="112" spans="3:17" ht="14.25" customHeight="1" x14ac:dyDescent="0.3">
      <c r="C112" s="371" t="s">
        <v>104</v>
      </c>
      <c r="D112" s="309"/>
      <c r="E112" s="103"/>
      <c r="F112" s="104">
        <v>1</v>
      </c>
      <c r="G112" s="84" t="s">
        <v>50</v>
      </c>
      <c r="H112" s="84"/>
      <c r="I112" s="84"/>
      <c r="J112" s="84"/>
      <c r="K112" s="84"/>
      <c r="L112" s="84"/>
      <c r="M112" s="84"/>
      <c r="N112" s="192"/>
      <c r="O112" s="5"/>
      <c r="P112" s="5"/>
      <c r="Q112" s="6"/>
    </row>
    <row r="113" spans="3:17" ht="14.25" customHeight="1" x14ac:dyDescent="0.3">
      <c r="C113" s="371" t="s">
        <v>105</v>
      </c>
      <c r="D113" s="309"/>
      <c r="E113" s="103"/>
      <c r="F113" s="104">
        <v>4</v>
      </c>
      <c r="G113" s="5"/>
      <c r="H113" s="5"/>
      <c r="I113" s="5"/>
      <c r="J113" s="5"/>
      <c r="K113" s="5"/>
      <c r="L113" s="5"/>
      <c r="M113" s="5"/>
      <c r="N113" s="5"/>
      <c r="O113" s="11"/>
      <c r="P113" s="81" t="s">
        <v>78</v>
      </c>
      <c r="Q113" s="6"/>
    </row>
    <row r="114" spans="3:17" ht="14.25" customHeight="1" x14ac:dyDescent="0.3">
      <c r="C114" s="372" t="s">
        <v>106</v>
      </c>
      <c r="D114" s="315"/>
      <c r="E114" s="309"/>
      <c r="F114" s="106">
        <f>SUM(F111:F113)</f>
        <v>6</v>
      </c>
      <c r="G114" s="5"/>
      <c r="H114" s="5"/>
      <c r="I114" s="5"/>
      <c r="J114" s="5"/>
      <c r="K114" s="5"/>
      <c r="L114" s="5"/>
      <c r="M114" s="5"/>
      <c r="N114" s="5"/>
      <c r="O114" s="11"/>
      <c r="P114" s="5"/>
      <c r="Q114" s="6"/>
    </row>
    <row r="115" spans="3:17" ht="14.25" customHeight="1" x14ac:dyDescent="0.3">
      <c r="C115" s="375" t="s">
        <v>107</v>
      </c>
      <c r="D115" s="319"/>
      <c r="E115" s="376"/>
      <c r="F115" s="107">
        <f>F114+F110+F107+F103</f>
        <v>88</v>
      </c>
      <c r="G115" s="8"/>
      <c r="H115" s="8"/>
      <c r="I115" s="8"/>
      <c r="J115" s="8"/>
      <c r="K115" s="8"/>
      <c r="L115" s="8"/>
      <c r="M115" s="8"/>
      <c r="N115" s="8"/>
      <c r="O115" s="57"/>
      <c r="P115" s="8"/>
      <c r="Q115" s="9"/>
    </row>
    <row r="116" spans="3:17" ht="14.25" customHeight="1" x14ac:dyDescent="0.3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3:17" ht="14.25" customHeight="1" x14ac:dyDescent="0.3">
      <c r="C117" s="5" t="s">
        <v>267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3:17" ht="14.25" customHeight="1" x14ac:dyDescent="0.3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3:17" ht="14.25" customHeight="1" x14ac:dyDescent="0.3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3:17" ht="14.25" customHeight="1" x14ac:dyDescent="0.3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3:17" ht="14.25" customHeight="1" x14ac:dyDescent="0.3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3:17" ht="14.25" customHeight="1" x14ac:dyDescent="0.3"/>
    <row r="123" spans="3:17" ht="14.25" customHeight="1" x14ac:dyDescent="0.3"/>
    <row r="124" spans="3:17" ht="14.25" customHeight="1" x14ac:dyDescent="0.3"/>
    <row r="125" spans="3:17" ht="14.25" customHeight="1" x14ac:dyDescent="0.3"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</row>
    <row r="126" spans="3:17" ht="14.25" customHeight="1" x14ac:dyDescent="0.35">
      <c r="C126" s="300" t="s">
        <v>0</v>
      </c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3"/>
      <c r="P126" s="293"/>
      <c r="Q126" s="301"/>
    </row>
    <row r="127" spans="3:17" ht="14.25" customHeight="1" x14ac:dyDescent="0.3">
      <c r="C127" s="305" t="s">
        <v>5</v>
      </c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3"/>
      <c r="P127" s="293"/>
      <c r="Q127" s="301"/>
    </row>
    <row r="128" spans="3:17" ht="14.25" customHeight="1" x14ac:dyDescent="0.45">
      <c r="C128" s="306" t="s">
        <v>268</v>
      </c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301"/>
    </row>
    <row r="129" spans="3:19" ht="14.25" customHeight="1" x14ac:dyDescent="0.3">
      <c r="C129" s="307"/>
      <c r="D129" s="294"/>
      <c r="E129" s="5"/>
      <c r="F129" s="5"/>
      <c r="G129" s="5"/>
      <c r="H129" s="5"/>
      <c r="I129" s="5" t="s">
        <v>263</v>
      </c>
      <c r="J129" s="5"/>
      <c r="K129" s="5"/>
      <c r="L129" s="5" t="s">
        <v>264</v>
      </c>
      <c r="M129" s="5"/>
      <c r="N129" s="5"/>
      <c r="O129" s="11"/>
      <c r="P129" s="5"/>
      <c r="Q129" s="6"/>
    </row>
    <row r="130" spans="3:19" ht="14.25" customHeight="1" x14ac:dyDescent="0.3">
      <c r="C130" s="368" t="s">
        <v>82</v>
      </c>
      <c r="D130" s="369"/>
      <c r="E130" s="369"/>
      <c r="F130" s="370"/>
      <c r="G130" s="194" t="s">
        <v>45</v>
      </c>
      <c r="H130" s="194" t="s">
        <v>269</v>
      </c>
      <c r="I130" s="194"/>
      <c r="J130" s="195">
        <v>484</v>
      </c>
      <c r="K130" s="194" t="s">
        <v>270</v>
      </c>
      <c r="L130" s="194">
        <v>540</v>
      </c>
      <c r="M130" s="194"/>
      <c r="N130" s="196"/>
      <c r="O130" s="5"/>
      <c r="P130" s="5"/>
      <c r="Q130" s="6"/>
    </row>
    <row r="131" spans="3:19" ht="14.25" customHeight="1" x14ac:dyDescent="0.3">
      <c r="C131" s="335" t="s">
        <v>84</v>
      </c>
      <c r="D131" s="309"/>
      <c r="E131" s="86" t="s">
        <v>46</v>
      </c>
      <c r="F131" s="87" t="s">
        <v>85</v>
      </c>
      <c r="G131" s="339" t="s">
        <v>86</v>
      </c>
      <c r="H131" s="340"/>
      <c r="I131" s="84" t="s">
        <v>269</v>
      </c>
      <c r="J131" s="84"/>
      <c r="K131" s="197">
        <v>302</v>
      </c>
      <c r="L131" s="84" t="s">
        <v>270</v>
      </c>
      <c r="M131" s="84">
        <v>340</v>
      </c>
      <c r="N131" s="5"/>
      <c r="O131" s="321" t="s">
        <v>246</v>
      </c>
      <c r="P131" s="293"/>
      <c r="Q131" s="301"/>
    </row>
    <row r="132" spans="3:19" ht="14.25" customHeight="1" x14ac:dyDescent="0.3">
      <c r="C132" s="336" t="s">
        <v>49</v>
      </c>
      <c r="D132" s="309"/>
      <c r="E132" s="88" t="s">
        <v>66</v>
      </c>
      <c r="F132" s="89">
        <v>15</v>
      </c>
      <c r="G132" s="5"/>
      <c r="H132" s="5"/>
      <c r="I132" s="5"/>
      <c r="J132" s="5"/>
      <c r="K132" s="5"/>
      <c r="L132" s="5"/>
      <c r="M132" s="5"/>
      <c r="N132" s="5"/>
      <c r="O132" s="321" t="s">
        <v>176</v>
      </c>
      <c r="P132" s="293"/>
      <c r="Q132" s="301"/>
    </row>
    <row r="133" spans="3:19" ht="14.25" customHeight="1" x14ac:dyDescent="0.3">
      <c r="C133" s="337"/>
      <c r="D133" s="309"/>
      <c r="E133" s="90">
        <v>5</v>
      </c>
      <c r="F133" s="91">
        <v>6</v>
      </c>
      <c r="G133" s="70"/>
      <c r="H133" s="70"/>
      <c r="I133" s="5"/>
      <c r="J133" s="5"/>
      <c r="K133" s="5"/>
      <c r="L133" s="5"/>
      <c r="M133" s="5"/>
      <c r="N133" s="5"/>
      <c r="O133" s="11"/>
      <c r="P133" s="5"/>
      <c r="Q133" s="6"/>
    </row>
    <row r="134" spans="3:19" ht="14.25" customHeight="1" x14ac:dyDescent="0.3">
      <c r="C134" s="338" t="s">
        <v>87</v>
      </c>
      <c r="D134" s="315"/>
      <c r="E134" s="309"/>
      <c r="F134" s="92">
        <f>SUM(F132:F133)</f>
        <v>21</v>
      </c>
      <c r="G134" s="70"/>
      <c r="H134" s="70"/>
      <c r="I134" s="5"/>
      <c r="J134" s="5"/>
      <c r="K134" s="5"/>
      <c r="L134" s="5"/>
      <c r="M134" s="5"/>
      <c r="N134" s="5"/>
      <c r="O134" s="304" t="s">
        <v>15</v>
      </c>
      <c r="P134" s="293"/>
      <c r="Q134" s="301"/>
    </row>
    <row r="135" spans="3:19" ht="14.25" customHeight="1" x14ac:dyDescent="0.3">
      <c r="C135" s="336" t="s">
        <v>56</v>
      </c>
      <c r="D135" s="309"/>
      <c r="E135" s="93">
        <v>9</v>
      </c>
      <c r="F135" s="94">
        <v>3</v>
      </c>
      <c r="G135" s="70"/>
      <c r="H135" s="70"/>
      <c r="I135" s="5"/>
      <c r="J135" s="5"/>
      <c r="K135" s="5"/>
      <c r="L135" s="5"/>
      <c r="M135" s="5"/>
      <c r="N135" s="5"/>
      <c r="O135" s="11"/>
      <c r="P135" s="5"/>
      <c r="Q135" s="6"/>
      <c r="S135" s="80">
        <f>9-3.75</f>
        <v>5.25</v>
      </c>
    </row>
    <row r="136" spans="3:19" ht="14.25" customHeight="1" x14ac:dyDescent="0.3">
      <c r="C136" s="336" t="s">
        <v>88</v>
      </c>
      <c r="D136" s="309"/>
      <c r="E136" s="95"/>
      <c r="F136" s="96">
        <v>1</v>
      </c>
      <c r="G136" s="339" t="s">
        <v>89</v>
      </c>
      <c r="H136" s="340"/>
      <c r="I136" s="84" t="s">
        <v>269</v>
      </c>
      <c r="J136" s="84"/>
      <c r="K136" s="197">
        <v>182</v>
      </c>
      <c r="L136" s="84" t="s">
        <v>270</v>
      </c>
      <c r="M136" s="84">
        <v>200</v>
      </c>
      <c r="N136" s="84"/>
      <c r="O136" s="304" t="s">
        <v>262</v>
      </c>
      <c r="P136" s="293"/>
      <c r="Q136" s="301"/>
    </row>
    <row r="137" spans="3:19" ht="14.25" customHeight="1" x14ac:dyDescent="0.3">
      <c r="C137" s="336" t="s">
        <v>90</v>
      </c>
      <c r="D137" s="309"/>
      <c r="E137" s="95">
        <v>1</v>
      </c>
      <c r="F137" s="96">
        <v>3</v>
      </c>
      <c r="G137" s="5"/>
      <c r="H137" s="5"/>
      <c r="I137" s="5"/>
      <c r="J137" s="5"/>
      <c r="K137" s="5"/>
      <c r="L137" s="5"/>
      <c r="M137" s="5"/>
      <c r="N137" s="5"/>
      <c r="O137" s="11"/>
      <c r="P137" s="5"/>
      <c r="Q137" s="6"/>
    </row>
    <row r="138" spans="3:19" ht="14.25" customHeight="1" x14ac:dyDescent="0.3">
      <c r="C138" s="338" t="s">
        <v>91</v>
      </c>
      <c r="D138" s="315"/>
      <c r="E138" s="309"/>
      <c r="F138" s="97">
        <f>SUM(F134:F137)</f>
        <v>28</v>
      </c>
      <c r="G138" s="5"/>
      <c r="H138" s="5"/>
      <c r="I138" s="5"/>
      <c r="J138" s="5"/>
      <c r="K138" s="5"/>
      <c r="L138" s="5"/>
      <c r="M138" s="5"/>
      <c r="N138" s="5"/>
      <c r="O138" s="303" t="s">
        <v>38</v>
      </c>
      <c r="P138" s="293"/>
      <c r="Q138" s="301"/>
    </row>
    <row r="139" spans="3:19" ht="14.25" customHeight="1" x14ac:dyDescent="0.3">
      <c r="C139" s="341" t="s">
        <v>92</v>
      </c>
      <c r="D139" s="309"/>
      <c r="E139" s="98" t="s">
        <v>93</v>
      </c>
      <c r="F139" s="99">
        <v>12</v>
      </c>
      <c r="G139" s="5"/>
      <c r="H139" s="5"/>
      <c r="I139" s="5"/>
      <c r="J139" s="5"/>
      <c r="K139" s="5"/>
      <c r="L139" s="5"/>
      <c r="M139" s="5"/>
      <c r="N139" s="5"/>
      <c r="O139" s="11"/>
      <c r="P139" s="5"/>
      <c r="Q139" s="6"/>
    </row>
    <row r="140" spans="3:19" ht="14.25" customHeight="1" x14ac:dyDescent="0.3">
      <c r="C140" s="342"/>
      <c r="D140" s="309"/>
      <c r="E140" s="98" t="s">
        <v>94</v>
      </c>
      <c r="F140" s="99">
        <v>7</v>
      </c>
      <c r="G140" s="5"/>
      <c r="H140" s="5"/>
      <c r="I140" s="5"/>
      <c r="J140" s="5"/>
      <c r="K140" s="5"/>
      <c r="L140" s="5"/>
      <c r="M140" s="5"/>
      <c r="N140" s="5"/>
      <c r="O140" s="304" t="s">
        <v>62</v>
      </c>
      <c r="P140" s="293"/>
      <c r="Q140" s="301"/>
    </row>
    <row r="141" spans="3:19" ht="14.25" customHeight="1" x14ac:dyDescent="0.3">
      <c r="C141" s="342"/>
      <c r="D141" s="309"/>
      <c r="E141" s="98" t="s">
        <v>95</v>
      </c>
      <c r="F141" s="99">
        <v>4</v>
      </c>
      <c r="G141" s="84" t="s">
        <v>56</v>
      </c>
      <c r="H141" s="84"/>
      <c r="I141" s="84"/>
      <c r="J141" s="84"/>
      <c r="K141" s="84"/>
      <c r="L141" s="84"/>
      <c r="M141" s="84"/>
      <c r="N141" s="108"/>
      <c r="O141" s="5"/>
      <c r="P141" s="5"/>
      <c r="Q141" s="6"/>
    </row>
    <row r="142" spans="3:19" ht="14.25" customHeight="1" x14ac:dyDescent="0.3">
      <c r="C142" s="343" t="s">
        <v>96</v>
      </c>
      <c r="D142" s="309"/>
      <c r="E142" s="100"/>
      <c r="F142" s="101">
        <f>SUM(F139:F141)</f>
        <v>23</v>
      </c>
      <c r="G142" s="339" t="s">
        <v>97</v>
      </c>
      <c r="H142" s="340"/>
      <c r="I142" s="5"/>
      <c r="J142" s="5"/>
      <c r="K142" s="5"/>
      <c r="L142" s="5"/>
      <c r="M142" s="5"/>
      <c r="N142" s="5"/>
      <c r="O142" s="303" t="s">
        <v>39</v>
      </c>
      <c r="P142" s="293"/>
      <c r="Q142" s="301"/>
    </row>
    <row r="143" spans="3:19" ht="14.25" customHeight="1" x14ac:dyDescent="0.3">
      <c r="C143" s="342" t="s">
        <v>98</v>
      </c>
      <c r="D143" s="309"/>
      <c r="E143" s="98" t="s">
        <v>99</v>
      </c>
      <c r="F143" s="99">
        <v>6</v>
      </c>
      <c r="G143" s="5"/>
      <c r="H143" s="5"/>
      <c r="I143" s="5"/>
      <c r="J143" s="5"/>
      <c r="K143" s="5"/>
      <c r="L143" s="5"/>
      <c r="M143" s="5"/>
      <c r="N143" s="5"/>
      <c r="O143" s="11"/>
      <c r="P143" s="5"/>
      <c r="Q143" s="6"/>
    </row>
    <row r="144" spans="3:19" ht="14.25" customHeight="1" x14ac:dyDescent="0.3">
      <c r="C144" s="342" t="s">
        <v>88</v>
      </c>
      <c r="D144" s="309"/>
      <c r="E144" s="98"/>
      <c r="F144" s="99">
        <v>2</v>
      </c>
      <c r="G144" s="5"/>
      <c r="H144" s="5"/>
      <c r="I144" s="5"/>
      <c r="J144" s="5"/>
      <c r="K144" s="5"/>
      <c r="L144" s="5"/>
      <c r="M144" s="5"/>
      <c r="N144" s="5"/>
      <c r="O144" s="11"/>
      <c r="P144" s="193" t="s">
        <v>265</v>
      </c>
      <c r="Q144" s="6"/>
    </row>
    <row r="145" spans="3:37" ht="14.25" customHeight="1" x14ac:dyDescent="0.3">
      <c r="C145" s="343" t="s">
        <v>101</v>
      </c>
      <c r="D145" s="309"/>
      <c r="E145" s="100"/>
      <c r="F145" s="101">
        <f>SUM(F142:F144)</f>
        <v>31</v>
      </c>
      <c r="G145" s="5"/>
      <c r="H145" s="5"/>
      <c r="I145" s="5"/>
      <c r="J145" s="5"/>
      <c r="K145" s="5"/>
      <c r="L145" s="5"/>
      <c r="M145" s="5"/>
      <c r="N145" s="5"/>
      <c r="O145" s="11"/>
      <c r="P145" s="5"/>
      <c r="Q145" s="6"/>
    </row>
    <row r="146" spans="3:37" ht="14.25" customHeight="1" x14ac:dyDescent="0.3">
      <c r="C146" s="371" t="s">
        <v>102</v>
      </c>
      <c r="D146" s="309"/>
      <c r="E146" s="103"/>
      <c r="F146" s="104">
        <v>1</v>
      </c>
      <c r="G146" s="5"/>
      <c r="H146" s="5"/>
      <c r="I146" s="5"/>
      <c r="J146" s="5"/>
      <c r="K146" s="5"/>
      <c r="L146" s="5"/>
      <c r="M146" s="5"/>
      <c r="N146" s="5"/>
      <c r="O146" s="11"/>
      <c r="P146" s="102" t="s">
        <v>266</v>
      </c>
      <c r="Q146" s="6"/>
    </row>
    <row r="147" spans="3:37" ht="14.25" customHeight="1" x14ac:dyDescent="0.3">
      <c r="C147" s="371" t="s">
        <v>104</v>
      </c>
      <c r="D147" s="309"/>
      <c r="E147" s="103"/>
      <c r="F147" s="104">
        <v>1</v>
      </c>
      <c r="G147" s="84" t="s">
        <v>50</v>
      </c>
      <c r="H147" s="84"/>
      <c r="I147" s="84"/>
      <c r="J147" s="84"/>
      <c r="K147" s="84"/>
      <c r="L147" s="84"/>
      <c r="M147" s="84"/>
      <c r="N147" s="108"/>
      <c r="O147" s="5"/>
      <c r="P147" s="5"/>
      <c r="Q147" s="6"/>
    </row>
    <row r="148" spans="3:37" ht="14.25" customHeight="1" x14ac:dyDescent="0.3">
      <c r="C148" s="371" t="s">
        <v>105</v>
      </c>
      <c r="D148" s="309"/>
      <c r="E148" s="103"/>
      <c r="F148" s="104">
        <v>4</v>
      </c>
      <c r="G148" s="5"/>
      <c r="H148" s="5"/>
      <c r="I148" s="5"/>
      <c r="J148" s="5"/>
      <c r="K148" s="5"/>
      <c r="L148" s="5"/>
      <c r="M148" s="5"/>
      <c r="N148" s="5"/>
      <c r="O148" s="11"/>
      <c r="P148" s="81" t="s">
        <v>78</v>
      </c>
      <c r="Q148" s="6"/>
    </row>
    <row r="149" spans="3:37" ht="14.25" customHeight="1" x14ac:dyDescent="0.3">
      <c r="C149" s="372" t="s">
        <v>106</v>
      </c>
      <c r="D149" s="315"/>
      <c r="E149" s="309"/>
      <c r="F149" s="106">
        <f>SUM(F146:F148)</f>
        <v>6</v>
      </c>
      <c r="G149" s="5"/>
      <c r="H149" s="5"/>
      <c r="I149" s="5"/>
      <c r="J149" s="5"/>
      <c r="K149" s="5"/>
      <c r="L149" s="5"/>
      <c r="M149" s="5"/>
      <c r="N149" s="5"/>
      <c r="O149" s="11"/>
      <c r="P149" s="5"/>
      <c r="Q149" s="6"/>
    </row>
    <row r="150" spans="3:37" ht="14.25" customHeight="1" x14ac:dyDescent="0.3">
      <c r="C150" s="375" t="s">
        <v>107</v>
      </c>
      <c r="D150" s="319"/>
      <c r="E150" s="376"/>
      <c r="F150" s="107">
        <f>F149+F145+F142+F138</f>
        <v>88</v>
      </c>
      <c r="G150" s="8"/>
      <c r="H150" s="8"/>
      <c r="I150" s="8"/>
      <c r="J150" s="8"/>
      <c r="K150" s="8"/>
      <c r="L150" s="8"/>
      <c r="M150" s="8"/>
      <c r="N150" s="8"/>
      <c r="O150" s="57"/>
      <c r="P150" s="8"/>
      <c r="Q150" s="9"/>
    </row>
    <row r="151" spans="3:37" ht="14.25" customHeight="1" x14ac:dyDescent="0.3"/>
    <row r="152" spans="3:37" ht="14.25" customHeight="1" x14ac:dyDescent="0.3"/>
    <row r="153" spans="3:37" ht="14.25" customHeight="1" x14ac:dyDescent="0.3"/>
    <row r="154" spans="3:37" ht="14.25" customHeight="1" x14ac:dyDescent="0.3"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W154" s="1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3"/>
    </row>
    <row r="155" spans="3:37" ht="14.25" customHeight="1" x14ac:dyDescent="0.35">
      <c r="C155" s="300" t="s">
        <v>0</v>
      </c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301"/>
      <c r="W155" s="300" t="s">
        <v>0</v>
      </c>
      <c r="X155" s="293"/>
      <c r="Y155" s="293"/>
      <c r="Z155" s="293"/>
      <c r="AA155" s="293"/>
      <c r="AB155" s="293"/>
      <c r="AC155" s="293"/>
      <c r="AD155" s="293"/>
      <c r="AE155" s="293"/>
      <c r="AF155" s="293"/>
      <c r="AG155" s="293"/>
      <c r="AH155" s="293"/>
      <c r="AI155" s="293"/>
      <c r="AJ155" s="293"/>
      <c r="AK155" s="301"/>
    </row>
    <row r="156" spans="3:37" ht="14.25" customHeight="1" x14ac:dyDescent="0.3">
      <c r="C156" s="305" t="s">
        <v>5</v>
      </c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293"/>
      <c r="O156" s="293"/>
      <c r="P156" s="293"/>
      <c r="Q156" s="301"/>
      <c r="W156" s="305" t="s">
        <v>5</v>
      </c>
      <c r="X156" s="293"/>
      <c r="Y156" s="293"/>
      <c r="Z156" s="293"/>
      <c r="AA156" s="293"/>
      <c r="AB156" s="293"/>
      <c r="AC156" s="293"/>
      <c r="AD156" s="293"/>
      <c r="AE156" s="293"/>
      <c r="AF156" s="293"/>
      <c r="AG156" s="293"/>
      <c r="AH156" s="293"/>
      <c r="AI156" s="293"/>
      <c r="AJ156" s="293"/>
      <c r="AK156" s="301"/>
    </row>
    <row r="157" spans="3:37" ht="14.25" customHeight="1" x14ac:dyDescent="0.45">
      <c r="C157" s="306" t="s">
        <v>191</v>
      </c>
      <c r="D157" s="293"/>
      <c r="E157" s="293"/>
      <c r="F157" s="293"/>
      <c r="G157" s="293"/>
      <c r="H157" s="293"/>
      <c r="I157" s="293"/>
      <c r="J157" s="293"/>
      <c r="K157" s="293"/>
      <c r="L157" s="293"/>
      <c r="M157" s="293"/>
      <c r="N157" s="293"/>
      <c r="O157" s="293"/>
      <c r="P157" s="293"/>
      <c r="Q157" s="301"/>
      <c r="W157" s="306"/>
      <c r="X157" s="293"/>
      <c r="Y157" s="293"/>
      <c r="Z157" s="293"/>
      <c r="AA157" s="293"/>
      <c r="AB157" s="293"/>
      <c r="AC157" s="293"/>
      <c r="AD157" s="293"/>
      <c r="AE157" s="293"/>
      <c r="AF157" s="293"/>
      <c r="AG157" s="293"/>
      <c r="AH157" s="293"/>
      <c r="AI157" s="293"/>
      <c r="AJ157" s="293"/>
      <c r="AK157" s="301"/>
    </row>
    <row r="158" spans="3:37" ht="14.25" customHeight="1" x14ac:dyDescent="0.3">
      <c r="C158" s="307"/>
      <c r="D158" s="294"/>
      <c r="E158" s="5"/>
      <c r="F158" s="5"/>
      <c r="G158" s="5"/>
      <c r="H158" s="5"/>
      <c r="I158" s="5" t="s">
        <v>263</v>
      </c>
      <c r="J158" s="5"/>
      <c r="K158" s="5"/>
      <c r="L158" s="5" t="s">
        <v>264</v>
      </c>
      <c r="M158" s="5"/>
      <c r="N158" s="5"/>
      <c r="O158" s="11"/>
      <c r="P158" s="5"/>
      <c r="Q158" s="6"/>
      <c r="W158" s="307"/>
      <c r="X158" s="294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11"/>
      <c r="AJ158" s="5"/>
      <c r="AK158" s="6"/>
    </row>
    <row r="159" spans="3:37" ht="14.25" customHeight="1" x14ac:dyDescent="0.3">
      <c r="C159" s="393" t="s">
        <v>271</v>
      </c>
      <c r="D159" s="369"/>
      <c r="E159" s="369"/>
      <c r="F159" s="370"/>
      <c r="G159" s="393" t="s">
        <v>272</v>
      </c>
      <c r="H159" s="369"/>
      <c r="I159" s="369"/>
      <c r="J159" s="369"/>
      <c r="K159" s="369"/>
      <c r="L159" s="369"/>
      <c r="M159" s="369"/>
      <c r="N159" s="370"/>
      <c r="O159" s="5"/>
      <c r="P159" s="5"/>
      <c r="Q159" s="6"/>
      <c r="W159" s="368"/>
      <c r="X159" s="369"/>
      <c r="Y159" s="369"/>
      <c r="Z159" s="370"/>
      <c r="AA159" s="114"/>
      <c r="AB159" s="84"/>
      <c r="AC159" s="84"/>
      <c r="AD159" s="197"/>
      <c r="AE159" s="84"/>
      <c r="AF159" s="84"/>
      <c r="AG159" s="84"/>
      <c r="AH159" s="108"/>
      <c r="AI159" s="5"/>
      <c r="AJ159" s="5"/>
      <c r="AK159" s="6"/>
    </row>
    <row r="160" spans="3:37" ht="14.25" customHeight="1" x14ac:dyDescent="0.3">
      <c r="C160" s="394"/>
      <c r="D160" s="340"/>
      <c r="E160" s="2"/>
      <c r="F160" s="198"/>
      <c r="G160" s="395" t="s">
        <v>172</v>
      </c>
      <c r="H160" s="396"/>
      <c r="I160" s="390" t="s">
        <v>173</v>
      </c>
      <c r="J160" s="390" t="s">
        <v>198</v>
      </c>
      <c r="K160" s="391" t="s">
        <v>273</v>
      </c>
      <c r="L160" s="392"/>
      <c r="M160" s="385" t="s">
        <v>274</v>
      </c>
      <c r="N160" s="385" t="s">
        <v>179</v>
      </c>
      <c r="O160" s="302" t="s">
        <v>246</v>
      </c>
      <c r="P160" s="293"/>
      <c r="Q160" s="301"/>
      <c r="W160" s="305"/>
      <c r="X160" s="294"/>
      <c r="Y160" s="5"/>
      <c r="Z160" s="134"/>
      <c r="AA160" s="389"/>
      <c r="AB160" s="340"/>
      <c r="AC160" s="2"/>
      <c r="AD160" s="2"/>
      <c r="AE160" s="199"/>
      <c r="AF160" s="2"/>
      <c r="AG160" s="2"/>
      <c r="AH160" s="6"/>
      <c r="AI160" s="302" t="s">
        <v>246</v>
      </c>
      <c r="AJ160" s="293"/>
      <c r="AK160" s="301"/>
    </row>
    <row r="161" spans="3:37" ht="14.25" customHeight="1" x14ac:dyDescent="0.3">
      <c r="C161" s="399" t="s">
        <v>275</v>
      </c>
      <c r="D161" s="293"/>
      <c r="E161" s="293"/>
      <c r="F161" s="301"/>
      <c r="G161" s="397"/>
      <c r="H161" s="398"/>
      <c r="I161" s="386"/>
      <c r="J161" s="386"/>
      <c r="K161" s="142" t="s">
        <v>276</v>
      </c>
      <c r="L161" s="142" t="s">
        <v>174</v>
      </c>
      <c r="M161" s="386"/>
      <c r="N161" s="386"/>
      <c r="O161" s="302" t="s">
        <v>176</v>
      </c>
      <c r="P161" s="293"/>
      <c r="Q161" s="301"/>
      <c r="W161" s="292"/>
      <c r="X161" s="294"/>
      <c r="Y161" s="111"/>
      <c r="Z161" s="200"/>
      <c r="AA161" s="4"/>
      <c r="AB161" s="5"/>
      <c r="AC161" s="5"/>
      <c r="AD161" s="5"/>
      <c r="AE161" s="5"/>
      <c r="AF161" s="5"/>
      <c r="AG161" s="5"/>
      <c r="AH161" s="6"/>
      <c r="AI161" s="302" t="s">
        <v>176</v>
      </c>
      <c r="AJ161" s="293"/>
      <c r="AK161" s="301"/>
    </row>
    <row r="162" spans="3:37" ht="14.25" customHeight="1" x14ac:dyDescent="0.3">
      <c r="C162" s="428" t="s">
        <v>277</v>
      </c>
      <c r="D162" s="296"/>
      <c r="E162" s="296"/>
      <c r="F162" s="429"/>
      <c r="G162" s="400" t="s">
        <v>182</v>
      </c>
      <c r="H162" s="309"/>
      <c r="I162" s="201" t="s">
        <v>157</v>
      </c>
      <c r="J162" s="201">
        <v>12400</v>
      </c>
      <c r="K162" s="201"/>
      <c r="L162" s="201"/>
      <c r="M162" s="201"/>
      <c r="N162" s="201"/>
      <c r="O162" s="5"/>
      <c r="P162" s="5"/>
      <c r="Q162" s="6"/>
      <c r="W162" s="305"/>
      <c r="X162" s="294"/>
      <c r="Y162" s="202"/>
      <c r="Z162" s="203"/>
      <c r="AA162" s="204"/>
      <c r="AB162" s="70"/>
      <c r="AC162" s="5"/>
      <c r="AD162" s="5"/>
      <c r="AE162" s="5"/>
      <c r="AF162" s="5"/>
      <c r="AG162" s="5"/>
      <c r="AH162" s="6"/>
      <c r="AI162" s="5"/>
      <c r="AJ162" s="5"/>
      <c r="AK162" s="6"/>
    </row>
    <row r="163" spans="3:37" ht="14.25" customHeight="1" x14ac:dyDescent="0.3">
      <c r="C163" s="305" t="s">
        <v>153</v>
      </c>
      <c r="D163" s="293"/>
      <c r="E163" s="293"/>
      <c r="F163" s="301"/>
      <c r="G163" s="400" t="s">
        <v>278</v>
      </c>
      <c r="H163" s="309"/>
      <c r="I163" s="201" t="s">
        <v>157</v>
      </c>
      <c r="J163" s="201">
        <v>6200</v>
      </c>
      <c r="K163" s="201"/>
      <c r="L163" s="201"/>
      <c r="M163" s="201"/>
      <c r="N163" s="201"/>
      <c r="O163" s="303" t="s">
        <v>15</v>
      </c>
      <c r="P163" s="293"/>
      <c r="Q163" s="301"/>
      <c r="W163" s="307"/>
      <c r="X163" s="293"/>
      <c r="Y163" s="294"/>
      <c r="Z163" s="135"/>
      <c r="AA163" s="204"/>
      <c r="AB163" s="70"/>
      <c r="AC163" s="5"/>
      <c r="AD163" s="5"/>
      <c r="AE163" s="5"/>
      <c r="AF163" s="5"/>
      <c r="AG163" s="5"/>
      <c r="AH163" s="6"/>
      <c r="AI163" s="303" t="s">
        <v>15</v>
      </c>
      <c r="AJ163" s="293"/>
      <c r="AK163" s="301"/>
    </row>
    <row r="164" spans="3:37" ht="14.25" customHeight="1" x14ac:dyDescent="0.3">
      <c r="C164" s="402" t="s">
        <v>54</v>
      </c>
      <c r="D164" s="293"/>
      <c r="E164" s="293"/>
      <c r="F164" s="301"/>
      <c r="G164" s="400" t="s">
        <v>206</v>
      </c>
      <c r="H164" s="309"/>
      <c r="I164" s="201" t="s">
        <v>279</v>
      </c>
      <c r="J164" s="201">
        <v>61</v>
      </c>
      <c r="K164" s="201"/>
      <c r="L164" s="201"/>
      <c r="M164" s="201"/>
      <c r="N164" s="201"/>
      <c r="O164" s="5"/>
      <c r="P164" s="5"/>
      <c r="Q164" s="6"/>
      <c r="W164" s="292"/>
      <c r="X164" s="294"/>
      <c r="Y164" s="69"/>
      <c r="Z164" s="205"/>
      <c r="AA164" s="204"/>
      <c r="AB164" s="70"/>
      <c r="AC164" s="5"/>
      <c r="AD164" s="5"/>
      <c r="AE164" s="5"/>
      <c r="AF164" s="5"/>
      <c r="AG164" s="5"/>
      <c r="AH164" s="6"/>
      <c r="AI164" s="5"/>
      <c r="AJ164" s="5"/>
      <c r="AK164" s="6"/>
    </row>
    <row r="165" spans="3:37" ht="14.25" customHeight="1" x14ac:dyDescent="0.3">
      <c r="C165" s="305" t="s">
        <v>280</v>
      </c>
      <c r="D165" s="293"/>
      <c r="E165" s="293"/>
      <c r="F165" s="301"/>
      <c r="G165" s="400" t="s">
        <v>281</v>
      </c>
      <c r="H165" s="309"/>
      <c r="I165" s="201" t="s">
        <v>157</v>
      </c>
      <c r="J165" s="201">
        <v>74</v>
      </c>
      <c r="K165" s="206"/>
      <c r="L165" s="201"/>
      <c r="M165" s="201"/>
      <c r="N165" s="201"/>
      <c r="O165" s="303" t="s">
        <v>262</v>
      </c>
      <c r="P165" s="293"/>
      <c r="Q165" s="301"/>
      <c r="W165" s="292"/>
      <c r="X165" s="294"/>
      <c r="Y165" s="5"/>
      <c r="Z165" s="6"/>
      <c r="AA165" s="292"/>
      <c r="AB165" s="294"/>
      <c r="AC165" s="5"/>
      <c r="AD165" s="5"/>
      <c r="AE165" s="207"/>
      <c r="AF165" s="5"/>
      <c r="AG165" s="5"/>
      <c r="AH165" s="6"/>
      <c r="AI165" s="303" t="s">
        <v>262</v>
      </c>
      <c r="AJ165" s="293"/>
      <c r="AK165" s="301"/>
    </row>
    <row r="166" spans="3:37" ht="14.25" customHeight="1" x14ac:dyDescent="0.3">
      <c r="C166" s="305" t="s">
        <v>282</v>
      </c>
      <c r="D166" s="293"/>
      <c r="E166" s="293"/>
      <c r="F166" s="301"/>
      <c r="G166" s="400" t="s">
        <v>283</v>
      </c>
      <c r="H166" s="309"/>
      <c r="I166" s="201" t="s">
        <v>157</v>
      </c>
      <c r="J166" s="201">
        <v>25</v>
      </c>
      <c r="K166" s="201"/>
      <c r="L166" s="201"/>
      <c r="M166" s="201"/>
      <c r="N166" s="201"/>
      <c r="O166" s="5"/>
      <c r="P166" s="5"/>
      <c r="Q166" s="6"/>
      <c r="W166" s="292"/>
      <c r="X166" s="294"/>
      <c r="Y166" s="5"/>
      <c r="Z166" s="6"/>
      <c r="AA166" s="4"/>
      <c r="AB166" s="5"/>
      <c r="AC166" s="5"/>
      <c r="AD166" s="5"/>
      <c r="AE166" s="5"/>
      <c r="AF166" s="5"/>
      <c r="AG166" s="5"/>
      <c r="AH166" s="6"/>
      <c r="AI166" s="5"/>
      <c r="AJ166" s="5"/>
      <c r="AK166" s="6"/>
    </row>
    <row r="167" spans="3:37" ht="14.25" customHeight="1" x14ac:dyDescent="0.3">
      <c r="C167" s="305" t="s">
        <v>284</v>
      </c>
      <c r="D167" s="293"/>
      <c r="E167" s="293"/>
      <c r="F167" s="301"/>
      <c r="G167" s="400" t="s">
        <v>285</v>
      </c>
      <c r="H167" s="309"/>
      <c r="I167" s="201" t="s">
        <v>157</v>
      </c>
      <c r="J167" s="201">
        <v>10</v>
      </c>
      <c r="K167" s="201"/>
      <c r="L167" s="201"/>
      <c r="M167" s="201"/>
      <c r="N167" s="201"/>
      <c r="O167" s="303" t="s">
        <v>38</v>
      </c>
      <c r="P167" s="293"/>
      <c r="Q167" s="301"/>
      <c r="W167" s="307"/>
      <c r="X167" s="293"/>
      <c r="Y167" s="294"/>
      <c r="Z167" s="208"/>
      <c r="AA167" s="4"/>
      <c r="AB167" s="5"/>
      <c r="AC167" s="5"/>
      <c r="AD167" s="5"/>
      <c r="AE167" s="5"/>
      <c r="AF167" s="5"/>
      <c r="AG167" s="5"/>
      <c r="AH167" s="6"/>
      <c r="AI167" s="303" t="s">
        <v>38</v>
      </c>
      <c r="AJ167" s="293"/>
      <c r="AK167" s="301"/>
    </row>
    <row r="168" spans="3:37" ht="14.25" customHeight="1" x14ac:dyDescent="0.3">
      <c r="C168" s="305" t="s">
        <v>286</v>
      </c>
      <c r="D168" s="293"/>
      <c r="E168" s="293"/>
      <c r="F168" s="301"/>
      <c r="G168" s="400" t="s">
        <v>287</v>
      </c>
      <c r="H168" s="309"/>
      <c r="I168" s="201" t="s">
        <v>157</v>
      </c>
      <c r="J168" s="201">
        <v>600</v>
      </c>
      <c r="K168" s="201"/>
      <c r="L168" s="201"/>
      <c r="M168" s="201"/>
      <c r="N168" s="201"/>
      <c r="O168" s="5"/>
      <c r="P168" s="5"/>
      <c r="Q168" s="6"/>
      <c r="W168" s="292"/>
      <c r="X168" s="294"/>
      <c r="Y168" s="5"/>
      <c r="Z168" s="6"/>
      <c r="AA168" s="4"/>
      <c r="AB168" s="5"/>
      <c r="AC168" s="5"/>
      <c r="AD168" s="5"/>
      <c r="AE168" s="5"/>
      <c r="AF168" s="5"/>
      <c r="AG168" s="5"/>
      <c r="AH168" s="6"/>
      <c r="AI168" s="5"/>
      <c r="AJ168" s="5"/>
      <c r="AK168" s="6"/>
    </row>
    <row r="169" spans="3:37" ht="14.25" customHeight="1" x14ac:dyDescent="0.3">
      <c r="C169" s="305" t="s">
        <v>288</v>
      </c>
      <c r="D169" s="293"/>
      <c r="E169" s="293"/>
      <c r="F169" s="301"/>
      <c r="G169" s="400" t="s">
        <v>289</v>
      </c>
      <c r="H169" s="309"/>
      <c r="I169" s="201" t="s">
        <v>157</v>
      </c>
      <c r="J169" s="201">
        <v>220</v>
      </c>
      <c r="K169" s="201"/>
      <c r="L169" s="201"/>
      <c r="M169" s="201"/>
      <c r="N169" s="201"/>
      <c r="O169" s="303" t="s">
        <v>62</v>
      </c>
      <c r="P169" s="293"/>
      <c r="Q169" s="301"/>
      <c r="W169" s="305"/>
      <c r="X169" s="294"/>
      <c r="Y169" s="5"/>
      <c r="Z169" s="6"/>
      <c r="AA169" s="4"/>
      <c r="AB169" s="5"/>
      <c r="AC169" s="5"/>
      <c r="AD169" s="5"/>
      <c r="AE169" s="5"/>
      <c r="AF169" s="5"/>
      <c r="AG169" s="5"/>
      <c r="AH169" s="6"/>
      <c r="AI169" s="303" t="s">
        <v>62</v>
      </c>
      <c r="AJ169" s="293"/>
      <c r="AK169" s="301"/>
    </row>
    <row r="170" spans="3:37" ht="14.25" customHeight="1" x14ac:dyDescent="0.3">
      <c r="C170" s="305" t="s">
        <v>290</v>
      </c>
      <c r="D170" s="293"/>
      <c r="E170" s="293"/>
      <c r="F170" s="301"/>
      <c r="G170" s="430" t="s">
        <v>291</v>
      </c>
      <c r="H170" s="312"/>
      <c r="I170" s="209" t="s">
        <v>157</v>
      </c>
      <c r="J170" s="209">
        <v>160</v>
      </c>
      <c r="K170" s="209"/>
      <c r="L170" s="209"/>
      <c r="M170" s="201"/>
      <c r="N170" s="201"/>
      <c r="O170" s="5"/>
      <c r="P170" s="5"/>
      <c r="Q170" s="6"/>
      <c r="W170" s="305"/>
      <c r="X170" s="294"/>
      <c r="Y170" s="5"/>
      <c r="Z170" s="6"/>
      <c r="AA170" s="4"/>
      <c r="AB170" s="5"/>
      <c r="AC170" s="5"/>
      <c r="AD170" s="5"/>
      <c r="AE170" s="5"/>
      <c r="AF170" s="5"/>
      <c r="AG170" s="5"/>
      <c r="AH170" s="6"/>
      <c r="AI170" s="5"/>
      <c r="AJ170" s="5"/>
      <c r="AK170" s="6"/>
    </row>
    <row r="171" spans="3:37" ht="14.25" customHeight="1" x14ac:dyDescent="0.3">
      <c r="C171" s="307"/>
      <c r="D171" s="293"/>
      <c r="E171" s="293"/>
      <c r="F171" s="301"/>
      <c r="G171" s="431" t="s">
        <v>292</v>
      </c>
      <c r="H171" s="323"/>
      <c r="I171" s="323"/>
      <c r="J171" s="323"/>
      <c r="K171" s="323"/>
      <c r="L171" s="324"/>
      <c r="M171" s="201"/>
      <c r="N171" s="6"/>
      <c r="O171" s="303" t="s">
        <v>39</v>
      </c>
      <c r="P171" s="293"/>
      <c r="Q171" s="301"/>
      <c r="W171" s="307"/>
      <c r="X171" s="294"/>
      <c r="Y171" s="67"/>
      <c r="Z171" s="208"/>
      <c r="AA171" s="292"/>
      <c r="AB171" s="294"/>
      <c r="AC171" s="5"/>
      <c r="AD171" s="5"/>
      <c r="AE171" s="5"/>
      <c r="AF171" s="5"/>
      <c r="AG171" s="5"/>
      <c r="AH171" s="6"/>
      <c r="AI171" s="303" t="s">
        <v>39</v>
      </c>
      <c r="AJ171" s="293"/>
      <c r="AK171" s="301"/>
    </row>
    <row r="172" spans="3:37" ht="14.25" customHeight="1" x14ac:dyDescent="0.3">
      <c r="C172" s="307"/>
      <c r="D172" s="293"/>
      <c r="E172" s="293"/>
      <c r="F172" s="301"/>
      <c r="G172" s="4"/>
      <c r="H172" s="5"/>
      <c r="I172" s="5"/>
      <c r="J172" s="5"/>
      <c r="K172" s="5"/>
      <c r="L172" s="5"/>
      <c r="M172" s="5"/>
      <c r="N172" s="6"/>
      <c r="O172" s="5"/>
      <c r="P172" s="5"/>
      <c r="Q172" s="6"/>
      <c r="W172" s="305"/>
      <c r="X172" s="294"/>
      <c r="Y172" s="5"/>
      <c r="Z172" s="6"/>
      <c r="AA172" s="4"/>
      <c r="AB172" s="5"/>
      <c r="AC172" s="5"/>
      <c r="AD172" s="5"/>
      <c r="AE172" s="5"/>
      <c r="AF172" s="5"/>
      <c r="AG172" s="5"/>
      <c r="AH172" s="6"/>
      <c r="AI172" s="5"/>
      <c r="AJ172" s="5"/>
      <c r="AK172" s="6"/>
    </row>
    <row r="173" spans="3:37" ht="14.25" customHeight="1" x14ac:dyDescent="0.3">
      <c r="C173" s="307"/>
      <c r="D173" s="293"/>
      <c r="E173" s="293"/>
      <c r="F173" s="301"/>
      <c r="G173" s="4"/>
      <c r="H173" s="5"/>
      <c r="I173" s="5"/>
      <c r="J173" s="5"/>
      <c r="K173" s="5"/>
      <c r="L173" s="5"/>
      <c r="M173" s="5"/>
      <c r="N173" s="6"/>
      <c r="O173" s="303" t="s">
        <v>293</v>
      </c>
      <c r="P173" s="293"/>
      <c r="Q173" s="301"/>
      <c r="W173" s="305"/>
      <c r="X173" s="294"/>
      <c r="Y173" s="5"/>
      <c r="Z173" s="6"/>
      <c r="AA173" s="4"/>
      <c r="AB173" s="5"/>
      <c r="AC173" s="5"/>
      <c r="AD173" s="5"/>
      <c r="AE173" s="5"/>
      <c r="AF173" s="5"/>
      <c r="AG173" s="5"/>
      <c r="AH173" s="6"/>
      <c r="AI173" s="5"/>
      <c r="AJ173" s="193" t="s">
        <v>265</v>
      </c>
      <c r="AK173" s="6"/>
    </row>
    <row r="174" spans="3:37" ht="14.25" customHeight="1" x14ac:dyDescent="0.3">
      <c r="C174" s="307"/>
      <c r="D174" s="293"/>
      <c r="E174" s="293"/>
      <c r="F174" s="301"/>
      <c r="G174" s="4"/>
      <c r="H174" s="5"/>
      <c r="I174" s="5"/>
      <c r="J174" s="5"/>
      <c r="K174" s="5"/>
      <c r="L174" s="5"/>
      <c r="M174" s="5"/>
      <c r="N174" s="6"/>
      <c r="O174" s="5"/>
      <c r="P174" s="5"/>
      <c r="Q174" s="6"/>
      <c r="W174" s="307"/>
      <c r="X174" s="294"/>
      <c r="Y174" s="67"/>
      <c r="Z174" s="208"/>
      <c r="AA174" s="4"/>
      <c r="AB174" s="5"/>
      <c r="AC174" s="5"/>
      <c r="AD174" s="5"/>
      <c r="AE174" s="5"/>
      <c r="AF174" s="5"/>
      <c r="AG174" s="5"/>
      <c r="AH174" s="6"/>
      <c r="AI174" s="5"/>
      <c r="AJ174" s="5"/>
      <c r="AK174" s="6"/>
    </row>
    <row r="175" spans="3:37" ht="14.25" customHeight="1" x14ac:dyDescent="0.3">
      <c r="C175" s="307"/>
      <c r="D175" s="293"/>
      <c r="E175" s="293"/>
      <c r="F175" s="301"/>
      <c r="G175" s="4"/>
      <c r="H175" s="5"/>
      <c r="I175" s="5"/>
      <c r="J175" s="5"/>
      <c r="K175" s="5"/>
      <c r="L175" s="5"/>
      <c r="M175" s="5"/>
      <c r="N175" s="6"/>
      <c r="O175" s="5"/>
      <c r="P175" s="5"/>
      <c r="Q175" s="6"/>
      <c r="W175" s="305"/>
      <c r="X175" s="294"/>
      <c r="Y175" s="5"/>
      <c r="Z175" s="6"/>
      <c r="AA175" s="4"/>
      <c r="AB175" s="5"/>
      <c r="AC175" s="5"/>
      <c r="AD175" s="5"/>
      <c r="AE175" s="5"/>
      <c r="AF175" s="5"/>
      <c r="AG175" s="5"/>
      <c r="AH175" s="6"/>
      <c r="AI175" s="5"/>
      <c r="AJ175" s="102" t="s">
        <v>266</v>
      </c>
      <c r="AK175" s="6"/>
    </row>
    <row r="176" spans="3:37" ht="14.25" customHeight="1" x14ac:dyDescent="0.3">
      <c r="C176" s="307"/>
      <c r="D176" s="293"/>
      <c r="E176" s="293"/>
      <c r="F176" s="301"/>
      <c r="G176" s="4"/>
      <c r="H176" s="5"/>
      <c r="I176" s="5"/>
      <c r="J176" s="5"/>
      <c r="K176" s="5"/>
      <c r="L176" s="5"/>
      <c r="M176" s="5"/>
      <c r="N176" s="6"/>
      <c r="O176" s="5"/>
      <c r="P176" s="5"/>
      <c r="Q176" s="6"/>
      <c r="W176" s="305"/>
      <c r="X176" s="294"/>
      <c r="Y176" s="5"/>
      <c r="Z176" s="6"/>
      <c r="AA176" s="4"/>
      <c r="AB176" s="5"/>
      <c r="AC176" s="5"/>
      <c r="AD176" s="5"/>
      <c r="AE176" s="5"/>
      <c r="AF176" s="5"/>
      <c r="AG176" s="5"/>
      <c r="AH176" s="6"/>
      <c r="AI176" s="5"/>
      <c r="AJ176" s="5"/>
      <c r="AK176" s="6"/>
    </row>
    <row r="177" spans="3:37" ht="14.25" customHeight="1" x14ac:dyDescent="0.3">
      <c r="C177" s="307"/>
      <c r="D177" s="293"/>
      <c r="E177" s="293"/>
      <c r="F177" s="301"/>
      <c r="G177" s="4"/>
      <c r="H177" s="5"/>
      <c r="I177" s="5"/>
      <c r="J177" s="5"/>
      <c r="K177" s="5"/>
      <c r="L177" s="5"/>
      <c r="M177" s="5"/>
      <c r="N177" s="6"/>
      <c r="O177" s="5"/>
      <c r="P177" s="81" t="s">
        <v>78</v>
      </c>
      <c r="Q177" s="6"/>
      <c r="W177" s="305"/>
      <c r="X177" s="294"/>
      <c r="Y177" s="5"/>
      <c r="Z177" s="6"/>
      <c r="AA177" s="4"/>
      <c r="AB177" s="5"/>
      <c r="AC177" s="5"/>
      <c r="AD177" s="5"/>
      <c r="AE177" s="5"/>
      <c r="AF177" s="5"/>
      <c r="AG177" s="5"/>
      <c r="AH177" s="6"/>
      <c r="AI177" s="5"/>
      <c r="AJ177" s="81" t="s">
        <v>78</v>
      </c>
      <c r="AK177" s="6"/>
    </row>
    <row r="178" spans="3:37" ht="14.25" customHeight="1" x14ac:dyDescent="0.3">
      <c r="C178" s="307"/>
      <c r="D178" s="293"/>
      <c r="E178" s="293"/>
      <c r="F178" s="301"/>
      <c r="G178" s="4"/>
      <c r="H178" s="5"/>
      <c r="I178" s="5"/>
      <c r="J178" s="5"/>
      <c r="K178" s="5"/>
      <c r="L178" s="5"/>
      <c r="M178" s="5"/>
      <c r="N178" s="6"/>
      <c r="O178" s="5"/>
      <c r="P178" s="5"/>
      <c r="Q178" s="6"/>
      <c r="W178" s="307"/>
      <c r="X178" s="293"/>
      <c r="Y178" s="294"/>
      <c r="Z178" s="208"/>
      <c r="AA178" s="4"/>
      <c r="AB178" s="5"/>
      <c r="AC178" s="5"/>
      <c r="AD178" s="5"/>
      <c r="AE178" s="5"/>
      <c r="AF178" s="5"/>
      <c r="AG178" s="5"/>
      <c r="AH178" s="6"/>
      <c r="AI178" s="5"/>
      <c r="AJ178" s="5"/>
      <c r="AK178" s="6"/>
    </row>
    <row r="179" spans="3:37" ht="14.25" customHeight="1" x14ac:dyDescent="0.3">
      <c r="C179" s="432"/>
      <c r="D179" s="298"/>
      <c r="E179" s="298"/>
      <c r="F179" s="328"/>
      <c r="G179" s="7"/>
      <c r="H179" s="8"/>
      <c r="I179" s="8"/>
      <c r="J179" s="8"/>
      <c r="K179" s="8"/>
      <c r="L179" s="8"/>
      <c r="M179" s="8"/>
      <c r="N179" s="9"/>
      <c r="O179" s="8"/>
      <c r="P179" s="8"/>
      <c r="Q179" s="9"/>
      <c r="W179" s="427"/>
      <c r="X179" s="298"/>
      <c r="Y179" s="299"/>
      <c r="Z179" s="210"/>
      <c r="AA179" s="7"/>
      <c r="AB179" s="8"/>
      <c r="AC179" s="8"/>
      <c r="AD179" s="8"/>
      <c r="AE179" s="8"/>
      <c r="AF179" s="8"/>
      <c r="AG179" s="8"/>
      <c r="AH179" s="9"/>
      <c r="AI179" s="8"/>
      <c r="AJ179" s="8"/>
      <c r="AK179" s="9"/>
    </row>
    <row r="180" spans="3:37" ht="14.25" customHeight="1" x14ac:dyDescent="0.3"/>
    <row r="181" spans="3:37" ht="14.25" customHeight="1" x14ac:dyDescent="0.3"/>
    <row r="182" spans="3:37" ht="14.25" customHeight="1" x14ac:dyDescent="0.3"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</row>
    <row r="183" spans="3:37" ht="14.25" customHeight="1" x14ac:dyDescent="0.35">
      <c r="C183" s="300" t="s">
        <v>0</v>
      </c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3"/>
      <c r="P183" s="293"/>
      <c r="Q183" s="301"/>
    </row>
    <row r="184" spans="3:37" ht="14.25" customHeight="1" x14ac:dyDescent="0.3">
      <c r="C184" s="305" t="s">
        <v>5</v>
      </c>
      <c r="D184" s="293"/>
      <c r="E184" s="293"/>
      <c r="F184" s="293"/>
      <c r="G184" s="293"/>
      <c r="H184" s="293"/>
      <c r="I184" s="293"/>
      <c r="J184" s="293"/>
      <c r="K184" s="293"/>
      <c r="L184" s="293"/>
      <c r="M184" s="293"/>
      <c r="N184" s="293"/>
      <c r="O184" s="293"/>
      <c r="P184" s="293"/>
      <c r="Q184" s="301"/>
    </row>
    <row r="185" spans="3:37" ht="14.25" customHeight="1" x14ac:dyDescent="0.45">
      <c r="C185" s="306" t="s">
        <v>294</v>
      </c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3"/>
      <c r="P185" s="293"/>
      <c r="Q185" s="301"/>
    </row>
    <row r="186" spans="3:37" ht="14.25" customHeight="1" x14ac:dyDescent="0.3">
      <c r="C186" s="403" t="s">
        <v>295</v>
      </c>
      <c r="D186" s="294"/>
      <c r="E186" s="404" t="s">
        <v>296</v>
      </c>
      <c r="F186" s="299"/>
      <c r="G186" s="5"/>
      <c r="H186" s="5"/>
      <c r="I186" s="5" t="s">
        <v>263</v>
      </c>
      <c r="J186" s="5"/>
      <c r="K186" s="5"/>
      <c r="L186" s="5" t="s">
        <v>264</v>
      </c>
      <c r="M186" s="5"/>
      <c r="N186" s="5"/>
      <c r="O186" s="11"/>
      <c r="P186" s="5"/>
      <c r="Q186" s="6"/>
    </row>
    <row r="187" spans="3:37" ht="14.25" customHeight="1" x14ac:dyDescent="0.3">
      <c r="C187" s="368" t="s">
        <v>76</v>
      </c>
      <c r="D187" s="369"/>
      <c r="E187" s="369"/>
      <c r="F187" s="370"/>
      <c r="G187" s="2"/>
      <c r="H187" s="2"/>
      <c r="I187" s="2"/>
      <c r="J187" s="199"/>
      <c r="K187" s="2"/>
      <c r="L187" s="2"/>
      <c r="M187" s="2"/>
      <c r="N187" s="3"/>
      <c r="O187" s="5"/>
      <c r="P187" s="5"/>
      <c r="Q187" s="6"/>
      <c r="S187" s="385" t="s">
        <v>172</v>
      </c>
      <c r="T187" s="385" t="s">
        <v>173</v>
      </c>
      <c r="U187" s="385" t="s">
        <v>198</v>
      </c>
      <c r="V187" s="433" t="s">
        <v>297</v>
      </c>
      <c r="W187" s="385" t="s">
        <v>272</v>
      </c>
      <c r="X187" s="385" t="s">
        <v>18</v>
      </c>
      <c r="Y187" s="385" t="s">
        <v>46</v>
      </c>
      <c r="Z187" s="385" t="s">
        <v>125</v>
      </c>
      <c r="AA187" s="211" t="s">
        <v>179</v>
      </c>
      <c r="AB187" s="434" t="s">
        <v>176</v>
      </c>
      <c r="AC187" s="435"/>
    </row>
    <row r="188" spans="3:37" ht="14.25" customHeight="1" x14ac:dyDescent="0.3">
      <c r="C188" s="394"/>
      <c r="D188" s="369"/>
      <c r="E188" s="369"/>
      <c r="F188" s="340"/>
      <c r="G188" s="385" t="s">
        <v>172</v>
      </c>
      <c r="H188" s="385" t="s">
        <v>173</v>
      </c>
      <c r="I188" s="385" t="s">
        <v>198</v>
      </c>
      <c r="J188" s="433" t="s">
        <v>297</v>
      </c>
      <c r="K188" s="385" t="s">
        <v>272</v>
      </c>
      <c r="L188" s="433" t="s">
        <v>178</v>
      </c>
      <c r="M188" s="388" t="s">
        <v>179</v>
      </c>
      <c r="N188" s="309"/>
      <c r="O188" s="302" t="s">
        <v>246</v>
      </c>
      <c r="P188" s="293"/>
      <c r="Q188" s="301"/>
      <c r="S188" s="386"/>
      <c r="T188" s="386"/>
      <c r="U188" s="386"/>
      <c r="V188" s="386"/>
      <c r="W188" s="386"/>
      <c r="X188" s="386"/>
      <c r="Y188" s="386"/>
      <c r="Z188" s="386"/>
      <c r="AA188" s="212" t="s">
        <v>217</v>
      </c>
      <c r="AB188" s="213" t="s">
        <v>178</v>
      </c>
      <c r="AC188" s="214" t="s">
        <v>179</v>
      </c>
    </row>
    <row r="189" spans="3:37" ht="14.25" customHeight="1" x14ac:dyDescent="0.3">
      <c r="C189" s="305"/>
      <c r="D189" s="293"/>
      <c r="E189" s="293"/>
      <c r="F189" s="294"/>
      <c r="G189" s="386"/>
      <c r="H189" s="386"/>
      <c r="I189" s="386"/>
      <c r="J189" s="386"/>
      <c r="K189" s="386"/>
      <c r="L189" s="386"/>
      <c r="M189" s="212" t="s">
        <v>217</v>
      </c>
      <c r="N189" s="212" t="s">
        <v>176</v>
      </c>
      <c r="O189" s="302" t="s">
        <v>176</v>
      </c>
      <c r="P189" s="293"/>
      <c r="Q189" s="301"/>
      <c r="S189" s="215" t="s">
        <v>182</v>
      </c>
      <c r="T189" s="216" t="s">
        <v>157</v>
      </c>
      <c r="U189" s="201">
        <v>300</v>
      </c>
      <c r="V189" s="201">
        <f>U189*130</f>
        <v>39000</v>
      </c>
      <c r="W189" s="201">
        <v>12400</v>
      </c>
      <c r="X189" s="95" t="s">
        <v>42</v>
      </c>
      <c r="Y189" s="201">
        <v>12</v>
      </c>
      <c r="Z189" s="201">
        <v>2.5</v>
      </c>
      <c r="AA189" s="201"/>
      <c r="AB189" s="201"/>
      <c r="AC189" s="201"/>
    </row>
    <row r="190" spans="3:37" ht="14.25" customHeight="1" x14ac:dyDescent="0.3">
      <c r="C190" s="305" t="s">
        <v>5</v>
      </c>
      <c r="D190" s="293"/>
      <c r="E190" s="293"/>
      <c r="F190" s="294"/>
      <c r="G190" s="215" t="s">
        <v>182</v>
      </c>
      <c r="H190" s="216" t="s">
        <v>157</v>
      </c>
      <c r="I190" s="201">
        <v>300</v>
      </c>
      <c r="J190" s="201">
        <f>I190*130</f>
        <v>39000</v>
      </c>
      <c r="K190" s="201">
        <v>12400</v>
      </c>
      <c r="L190" s="201"/>
      <c r="M190" s="201"/>
      <c r="N190" s="201"/>
      <c r="O190" s="5"/>
      <c r="P190" s="5"/>
      <c r="Q190" s="6"/>
      <c r="S190" s="215" t="s">
        <v>206</v>
      </c>
      <c r="T190" s="216" t="s">
        <v>207</v>
      </c>
      <c r="U190" s="201">
        <v>12</v>
      </c>
      <c r="V190" s="201">
        <f>U190*1250</f>
        <v>15000</v>
      </c>
      <c r="W190" s="201">
        <v>61</v>
      </c>
      <c r="X190" s="95" t="s">
        <v>42</v>
      </c>
      <c r="Y190" s="201">
        <v>1</v>
      </c>
      <c r="Z190" s="201">
        <v>17</v>
      </c>
      <c r="AA190" s="201"/>
      <c r="AB190" s="201"/>
      <c r="AC190" s="201"/>
    </row>
    <row r="191" spans="3:37" ht="14.25" customHeight="1" x14ac:dyDescent="0.3">
      <c r="C191" s="305" t="s">
        <v>248</v>
      </c>
      <c r="D191" s="293"/>
      <c r="E191" s="293"/>
      <c r="F191" s="294"/>
      <c r="G191" s="215" t="s">
        <v>206</v>
      </c>
      <c r="H191" s="216" t="s">
        <v>207</v>
      </c>
      <c r="I191" s="201">
        <v>12</v>
      </c>
      <c r="J191" s="201">
        <f>I191*1250</f>
        <v>15000</v>
      </c>
      <c r="K191" s="201">
        <v>61</v>
      </c>
      <c r="L191" s="201"/>
      <c r="M191" s="201"/>
      <c r="N191" s="201"/>
      <c r="O191" s="303" t="s">
        <v>15</v>
      </c>
      <c r="P191" s="293"/>
      <c r="Q191" s="301"/>
      <c r="S191" s="215" t="s">
        <v>205</v>
      </c>
      <c r="T191" s="216" t="s">
        <v>184</v>
      </c>
      <c r="U191" s="201">
        <v>1</v>
      </c>
      <c r="V191" s="201">
        <v>6000</v>
      </c>
      <c r="W191" s="201">
        <v>1</v>
      </c>
      <c r="X191" s="217" t="s">
        <v>44</v>
      </c>
      <c r="Y191" s="201"/>
      <c r="Z191" s="201"/>
      <c r="AA191" s="201"/>
      <c r="AB191" s="201"/>
      <c r="AC191" s="201"/>
    </row>
    <row r="192" spans="3:37" ht="14.25" customHeight="1" x14ac:dyDescent="0.3">
      <c r="C192" s="402" t="s">
        <v>249</v>
      </c>
      <c r="D192" s="293"/>
      <c r="E192" s="293"/>
      <c r="F192" s="294"/>
      <c r="G192" s="215" t="s">
        <v>205</v>
      </c>
      <c r="H192" s="216" t="s">
        <v>184</v>
      </c>
      <c r="I192" s="201">
        <v>1</v>
      </c>
      <c r="J192" s="201">
        <v>6000</v>
      </c>
      <c r="K192" s="201">
        <v>1</v>
      </c>
      <c r="L192" s="201"/>
      <c r="M192" s="201"/>
      <c r="N192" s="201"/>
      <c r="O192" s="5"/>
      <c r="P192" s="5"/>
      <c r="Q192" s="6"/>
    </row>
    <row r="193" spans="3:17" ht="14.25" customHeight="1" x14ac:dyDescent="0.3">
      <c r="C193" s="305" t="s">
        <v>251</v>
      </c>
      <c r="D193" s="293"/>
      <c r="E193" s="293"/>
      <c r="F193" s="301"/>
      <c r="G193" s="383"/>
      <c r="H193" s="294"/>
      <c r="I193" s="5"/>
      <c r="J193" s="5"/>
      <c r="K193" s="207"/>
      <c r="L193" s="5"/>
      <c r="M193" s="5"/>
      <c r="N193" s="6"/>
      <c r="O193" s="303" t="s">
        <v>262</v>
      </c>
      <c r="P193" s="293"/>
      <c r="Q193" s="301"/>
    </row>
    <row r="194" spans="3:17" ht="14.25" customHeight="1" x14ac:dyDescent="0.3">
      <c r="C194" s="305" t="s">
        <v>298</v>
      </c>
      <c r="D194" s="293"/>
      <c r="E194" s="293"/>
      <c r="F194" s="301"/>
      <c r="G194" s="5"/>
      <c r="H194" s="5"/>
      <c r="I194" s="5"/>
      <c r="J194" s="5"/>
      <c r="K194" s="5"/>
      <c r="L194" s="5"/>
      <c r="M194" s="5"/>
      <c r="N194" s="6"/>
      <c r="O194" s="5"/>
      <c r="P194" s="5"/>
      <c r="Q194" s="6"/>
    </row>
    <row r="195" spans="3:17" ht="14.25" customHeight="1" x14ac:dyDescent="0.3">
      <c r="C195" s="305" t="s">
        <v>299</v>
      </c>
      <c r="D195" s="293"/>
      <c r="E195" s="293"/>
      <c r="F195" s="301"/>
      <c r="G195" s="5"/>
      <c r="H195" s="5"/>
      <c r="I195" s="5"/>
      <c r="J195" s="5"/>
      <c r="K195" s="5"/>
      <c r="L195" s="5"/>
      <c r="M195" s="5"/>
      <c r="N195" s="6"/>
      <c r="O195" s="303" t="s">
        <v>38</v>
      </c>
      <c r="P195" s="293"/>
      <c r="Q195" s="301"/>
    </row>
    <row r="196" spans="3:17" ht="14.25" customHeight="1" x14ac:dyDescent="0.3">
      <c r="C196" s="305" t="s">
        <v>300</v>
      </c>
      <c r="D196" s="293"/>
      <c r="E196" s="293"/>
      <c r="F196" s="301"/>
      <c r="G196" s="5"/>
      <c r="H196" s="5"/>
      <c r="I196" s="5"/>
      <c r="J196" s="5"/>
      <c r="K196" s="5"/>
      <c r="L196" s="5"/>
      <c r="M196" s="5"/>
      <c r="N196" s="6"/>
      <c r="O196" s="5"/>
      <c r="P196" s="5"/>
      <c r="Q196" s="6"/>
    </row>
    <row r="197" spans="3:17" ht="14.25" customHeight="1" x14ac:dyDescent="0.3">
      <c r="C197" s="305" t="s">
        <v>301</v>
      </c>
      <c r="D197" s="293"/>
      <c r="E197" s="293"/>
      <c r="F197" s="301"/>
      <c r="G197" s="5"/>
      <c r="H197" s="5"/>
      <c r="I197" s="5"/>
      <c r="J197" s="5"/>
      <c r="K197" s="5"/>
      <c r="L197" s="5"/>
      <c r="M197" s="5"/>
      <c r="N197" s="6"/>
      <c r="O197" s="303" t="s">
        <v>62</v>
      </c>
      <c r="P197" s="293"/>
      <c r="Q197" s="301"/>
    </row>
    <row r="198" spans="3:17" ht="14.25" customHeight="1" x14ac:dyDescent="0.3">
      <c r="C198" s="305" t="s">
        <v>302</v>
      </c>
      <c r="D198" s="293"/>
      <c r="E198" s="293"/>
      <c r="F198" s="301"/>
      <c r="G198" s="5"/>
      <c r="H198" s="5"/>
      <c r="I198" s="5"/>
      <c r="J198" s="5"/>
      <c r="K198" s="5"/>
      <c r="L198" s="5"/>
      <c r="M198" s="5"/>
      <c r="N198" s="6"/>
      <c r="O198" s="5"/>
      <c r="P198" s="5"/>
      <c r="Q198" s="6"/>
    </row>
    <row r="199" spans="3:17" ht="14.25" customHeight="1" x14ac:dyDescent="0.3">
      <c r="C199" s="305"/>
      <c r="D199" s="293"/>
      <c r="E199" s="293"/>
      <c r="F199" s="301"/>
      <c r="G199" s="383"/>
      <c r="H199" s="294"/>
      <c r="I199" s="5"/>
      <c r="J199" s="5"/>
      <c r="K199" s="5"/>
      <c r="L199" s="5"/>
      <c r="M199" s="5"/>
      <c r="N199" s="6"/>
      <c r="O199" s="303" t="s">
        <v>39</v>
      </c>
      <c r="P199" s="293"/>
      <c r="Q199" s="301"/>
    </row>
    <row r="200" spans="3:17" ht="14.25" customHeight="1" x14ac:dyDescent="0.3">
      <c r="C200" s="305"/>
      <c r="D200" s="293"/>
      <c r="E200" s="293"/>
      <c r="F200" s="301"/>
      <c r="G200" s="5"/>
      <c r="H200" s="5"/>
      <c r="I200" s="5"/>
      <c r="J200" s="5"/>
      <c r="K200" s="5"/>
      <c r="L200" s="5"/>
      <c r="M200" s="5"/>
      <c r="N200" s="6"/>
      <c r="O200" s="5"/>
      <c r="P200" s="5"/>
      <c r="Q200" s="6"/>
    </row>
    <row r="201" spans="3:17" ht="14.25" customHeight="1" x14ac:dyDescent="0.3">
      <c r="C201" s="305"/>
      <c r="D201" s="293"/>
      <c r="E201" s="293"/>
      <c r="F201" s="301"/>
      <c r="G201" s="5"/>
      <c r="H201" s="5"/>
      <c r="I201" s="5"/>
      <c r="J201" s="5"/>
      <c r="K201" s="5"/>
      <c r="L201" s="5"/>
      <c r="M201" s="5"/>
      <c r="N201" s="6"/>
      <c r="O201" s="5"/>
      <c r="P201" s="5"/>
      <c r="Q201" s="6"/>
    </row>
    <row r="202" spans="3:17" ht="14.25" customHeight="1" x14ac:dyDescent="0.3">
      <c r="C202" s="305"/>
      <c r="D202" s="293"/>
      <c r="E202" s="293"/>
      <c r="F202" s="301"/>
      <c r="G202" s="5"/>
      <c r="H202" s="5"/>
      <c r="I202" s="5"/>
      <c r="J202" s="5"/>
      <c r="K202" s="5"/>
      <c r="L202" s="5"/>
      <c r="M202" s="5"/>
      <c r="N202" s="6"/>
      <c r="O202" s="5"/>
      <c r="P202" s="5"/>
      <c r="Q202" s="6"/>
    </row>
    <row r="203" spans="3:17" ht="14.25" customHeight="1" x14ac:dyDescent="0.3">
      <c r="C203" s="305"/>
      <c r="D203" s="293"/>
      <c r="E203" s="293"/>
      <c r="F203" s="301"/>
      <c r="G203" s="5"/>
      <c r="H203" s="5"/>
      <c r="I203" s="5"/>
      <c r="J203" s="5"/>
      <c r="K203" s="5"/>
      <c r="L203" s="5"/>
      <c r="M203" s="5"/>
      <c r="N203" s="6"/>
      <c r="O203" s="5"/>
      <c r="P203" s="5"/>
      <c r="Q203" s="6"/>
    </row>
    <row r="204" spans="3:17" ht="14.25" customHeight="1" x14ac:dyDescent="0.3">
      <c r="C204" s="305"/>
      <c r="D204" s="293"/>
      <c r="E204" s="293"/>
      <c r="F204" s="301"/>
      <c r="G204" s="5"/>
      <c r="H204" s="5"/>
      <c r="I204" s="5"/>
      <c r="J204" s="5"/>
      <c r="K204" s="5"/>
      <c r="L204" s="5"/>
      <c r="M204" s="5"/>
      <c r="N204" s="6"/>
      <c r="O204" s="5"/>
      <c r="P204" s="5"/>
      <c r="Q204" s="6"/>
    </row>
    <row r="205" spans="3:17" ht="14.25" customHeight="1" x14ac:dyDescent="0.3">
      <c r="C205" s="305"/>
      <c r="D205" s="293"/>
      <c r="E205" s="293"/>
      <c r="F205" s="301"/>
      <c r="G205" s="5"/>
      <c r="H205" s="5"/>
      <c r="I205" s="5"/>
      <c r="J205" s="5"/>
      <c r="K205" s="5"/>
      <c r="L205" s="5"/>
      <c r="M205" s="5"/>
      <c r="N205" s="6"/>
      <c r="O205" s="5"/>
      <c r="P205" s="81" t="s">
        <v>78</v>
      </c>
      <c r="Q205" s="6"/>
    </row>
    <row r="206" spans="3:17" ht="14.25" customHeight="1" x14ac:dyDescent="0.3">
      <c r="C206" s="305"/>
      <c r="D206" s="293"/>
      <c r="E206" s="293"/>
      <c r="F206" s="301"/>
      <c r="G206" s="5"/>
      <c r="H206" s="5"/>
      <c r="I206" s="5"/>
      <c r="J206" s="5"/>
      <c r="K206" s="5"/>
      <c r="L206" s="5"/>
      <c r="M206" s="5"/>
      <c r="N206" s="6"/>
      <c r="O206" s="5"/>
      <c r="P206" s="5"/>
      <c r="Q206" s="6"/>
    </row>
    <row r="207" spans="3:17" ht="14.25" customHeight="1" x14ac:dyDescent="0.3">
      <c r="C207" s="401"/>
      <c r="D207" s="298"/>
      <c r="E207" s="298"/>
      <c r="F207" s="328"/>
      <c r="G207" s="8"/>
      <c r="H207" s="8"/>
      <c r="I207" s="8"/>
      <c r="J207" s="8"/>
      <c r="K207" s="8"/>
      <c r="L207" s="8"/>
      <c r="M207" s="8"/>
      <c r="N207" s="9"/>
      <c r="O207" s="8"/>
      <c r="P207" s="8"/>
      <c r="Q207" s="9"/>
    </row>
    <row r="208" spans="3:17" ht="14.25" customHeight="1" x14ac:dyDescent="0.3">
      <c r="C208" s="111"/>
      <c r="D208" s="111"/>
      <c r="E208" s="111"/>
      <c r="F208" s="111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 spans="3:17" ht="14.25" customHeight="1" x14ac:dyDescent="0.3">
      <c r="C209" s="111"/>
      <c r="D209" s="111"/>
      <c r="E209" s="111"/>
      <c r="F209" s="111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spans="3:17" ht="14.25" customHeight="1" x14ac:dyDescent="0.3">
      <c r="C210" s="111"/>
      <c r="D210" s="111"/>
      <c r="E210" s="111"/>
      <c r="F210" s="111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spans="3:17" ht="14.25" customHeight="1" x14ac:dyDescent="0.3"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</row>
    <row r="212" spans="3:17" ht="14.25" customHeight="1" x14ac:dyDescent="0.35">
      <c r="C212" s="300" t="s">
        <v>0</v>
      </c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3"/>
      <c r="P212" s="293"/>
      <c r="Q212" s="301"/>
    </row>
    <row r="213" spans="3:17" ht="14.25" customHeight="1" x14ac:dyDescent="0.3">
      <c r="C213" s="305" t="s">
        <v>5</v>
      </c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3"/>
      <c r="P213" s="293"/>
      <c r="Q213" s="301"/>
    </row>
    <row r="214" spans="3:17" ht="14.25" customHeight="1" x14ac:dyDescent="0.45">
      <c r="C214" s="306" t="s">
        <v>294</v>
      </c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301"/>
    </row>
    <row r="215" spans="3:17" ht="14.25" customHeight="1" x14ac:dyDescent="0.3">
      <c r="C215" s="403" t="s">
        <v>295</v>
      </c>
      <c r="D215" s="294"/>
      <c r="E215" s="404" t="s">
        <v>296</v>
      </c>
      <c r="F215" s="299"/>
      <c r="G215" s="5"/>
      <c r="H215" s="5"/>
      <c r="I215" s="5" t="s">
        <v>263</v>
      </c>
      <c r="J215" s="5"/>
      <c r="K215" s="5"/>
      <c r="L215" s="5" t="s">
        <v>264</v>
      </c>
      <c r="M215" s="5"/>
      <c r="N215" s="5"/>
      <c r="O215" s="11"/>
      <c r="P215" s="5"/>
      <c r="Q215" s="6"/>
    </row>
    <row r="216" spans="3:17" ht="14.25" customHeight="1" x14ac:dyDescent="0.3">
      <c r="C216" s="368" t="s">
        <v>303</v>
      </c>
      <c r="D216" s="369"/>
      <c r="E216" s="369"/>
      <c r="F216" s="370"/>
      <c r="G216" s="2"/>
      <c r="H216" s="2"/>
      <c r="I216" s="2"/>
      <c r="J216" s="199"/>
      <c r="K216" s="2"/>
      <c r="L216" s="2"/>
      <c r="M216" s="2"/>
      <c r="N216" s="3"/>
      <c r="O216" s="5"/>
      <c r="P216" s="5"/>
      <c r="Q216" s="6"/>
    </row>
    <row r="217" spans="3:17" ht="14.25" customHeight="1" x14ac:dyDescent="0.3">
      <c r="C217" s="185" t="s">
        <v>172</v>
      </c>
      <c r="D217" s="187" t="s">
        <v>174</v>
      </c>
      <c r="E217" s="187" t="s">
        <v>173</v>
      </c>
      <c r="F217" s="188" t="s">
        <v>274</v>
      </c>
      <c r="G217" s="405" t="s">
        <v>172</v>
      </c>
      <c r="H217" s="385" t="s">
        <v>304</v>
      </c>
      <c r="I217" s="385" t="s">
        <v>174</v>
      </c>
      <c r="J217" s="385" t="s">
        <v>173</v>
      </c>
      <c r="K217" s="385" t="s">
        <v>274</v>
      </c>
      <c r="L217" s="385" t="s">
        <v>305</v>
      </c>
      <c r="M217" s="385" t="s">
        <v>179</v>
      </c>
      <c r="N217" s="385" t="s">
        <v>178</v>
      </c>
      <c r="O217" s="302" t="s">
        <v>246</v>
      </c>
      <c r="P217" s="293"/>
      <c r="Q217" s="301"/>
    </row>
    <row r="218" spans="3:17" ht="14.25" customHeight="1" x14ac:dyDescent="0.3">
      <c r="C218" s="218" t="s">
        <v>306</v>
      </c>
      <c r="D218" s="86">
        <v>0</v>
      </c>
      <c r="E218" s="86" t="s">
        <v>184</v>
      </c>
      <c r="F218" s="219">
        <v>0</v>
      </c>
      <c r="G218" s="406"/>
      <c r="H218" s="386"/>
      <c r="I218" s="386"/>
      <c r="J218" s="386"/>
      <c r="K218" s="386"/>
      <c r="L218" s="386"/>
      <c r="M218" s="386"/>
      <c r="N218" s="386"/>
      <c r="O218" s="302" t="s">
        <v>176</v>
      </c>
      <c r="P218" s="293"/>
      <c r="Q218" s="301"/>
    </row>
    <row r="219" spans="3:17" ht="14.25" customHeight="1" x14ac:dyDescent="0.3">
      <c r="C219" s="218" t="s">
        <v>307</v>
      </c>
      <c r="D219" s="86">
        <v>74</v>
      </c>
      <c r="E219" s="86" t="s">
        <v>157</v>
      </c>
      <c r="F219" s="219">
        <f>74*130</f>
        <v>9620</v>
      </c>
      <c r="G219" s="220" t="s">
        <v>306</v>
      </c>
      <c r="H219" s="221" t="s">
        <v>308</v>
      </c>
      <c r="I219" s="86">
        <v>2</v>
      </c>
      <c r="J219" s="86" t="s">
        <v>309</v>
      </c>
      <c r="K219" s="222">
        <v>12750</v>
      </c>
      <c r="L219" s="86" t="s">
        <v>310</v>
      </c>
      <c r="M219" s="86"/>
      <c r="N219" s="86"/>
      <c r="O219" s="5"/>
      <c r="P219" s="5"/>
      <c r="Q219" s="6"/>
    </row>
    <row r="220" spans="3:17" ht="14.25" customHeight="1" x14ac:dyDescent="0.3">
      <c r="C220" s="223" t="s">
        <v>311</v>
      </c>
      <c r="D220" s="190">
        <v>0</v>
      </c>
      <c r="E220" s="190" t="s">
        <v>309</v>
      </c>
      <c r="F220" s="224">
        <v>0</v>
      </c>
      <c r="G220" s="220" t="s">
        <v>307</v>
      </c>
      <c r="H220" s="221" t="s">
        <v>312</v>
      </c>
      <c r="I220" s="86">
        <v>4000</v>
      </c>
      <c r="J220" s="86" t="s">
        <v>313</v>
      </c>
      <c r="K220" s="222">
        <f>I220*139</f>
        <v>556000</v>
      </c>
      <c r="L220" s="86" t="s">
        <v>314</v>
      </c>
      <c r="M220" s="86"/>
      <c r="N220" s="86"/>
      <c r="O220" s="303" t="s">
        <v>15</v>
      </c>
      <c r="P220" s="293"/>
      <c r="Q220" s="301"/>
    </row>
    <row r="221" spans="3:17" ht="14.25" customHeight="1" x14ac:dyDescent="0.3">
      <c r="C221" s="4"/>
      <c r="D221" s="5"/>
      <c r="E221" s="5"/>
      <c r="F221" s="6"/>
      <c r="G221" s="220" t="s">
        <v>311</v>
      </c>
      <c r="H221" s="221" t="s">
        <v>315</v>
      </c>
      <c r="I221" s="86">
        <v>3</v>
      </c>
      <c r="J221" s="86" t="s">
        <v>309</v>
      </c>
      <c r="K221" s="222">
        <v>3125</v>
      </c>
      <c r="L221" s="86" t="s">
        <v>316</v>
      </c>
      <c r="M221" s="86"/>
      <c r="N221" s="86"/>
      <c r="O221" s="5"/>
      <c r="P221" s="5"/>
      <c r="Q221" s="6"/>
    </row>
    <row r="222" spans="3:17" ht="14.25" customHeight="1" x14ac:dyDescent="0.3">
      <c r="C222" s="305"/>
      <c r="D222" s="293"/>
      <c r="E222" s="293"/>
      <c r="F222" s="301"/>
      <c r="G222" s="383"/>
      <c r="H222" s="294"/>
      <c r="I222" s="5"/>
      <c r="J222" s="5"/>
      <c r="K222" s="207"/>
      <c r="L222" s="5"/>
      <c r="M222" s="5"/>
      <c r="N222" s="6"/>
      <c r="O222" s="303" t="s">
        <v>262</v>
      </c>
      <c r="P222" s="293"/>
      <c r="Q222" s="301"/>
    </row>
    <row r="223" spans="3:17" ht="14.25" customHeight="1" x14ac:dyDescent="0.3">
      <c r="C223" s="305"/>
      <c r="D223" s="293"/>
      <c r="E223" s="293"/>
      <c r="F223" s="301"/>
      <c r="G223" s="5"/>
      <c r="H223" s="5"/>
      <c r="I223" s="5"/>
      <c r="J223" s="5"/>
      <c r="K223" s="5"/>
      <c r="L223" s="5"/>
      <c r="M223" s="5"/>
      <c r="N223" s="6"/>
      <c r="O223" s="5"/>
      <c r="P223" s="5"/>
      <c r="Q223" s="6"/>
    </row>
    <row r="224" spans="3:17" ht="14.25" customHeight="1" x14ac:dyDescent="0.3">
      <c r="C224" s="305"/>
      <c r="D224" s="293"/>
      <c r="E224" s="293"/>
      <c r="F224" s="301"/>
      <c r="G224" s="5"/>
      <c r="H224" s="5"/>
      <c r="I224" s="5"/>
      <c r="J224" s="5"/>
      <c r="K224" s="5"/>
      <c r="L224" s="5"/>
      <c r="M224" s="5"/>
      <c r="N224" s="6"/>
      <c r="O224" s="303" t="s">
        <v>38</v>
      </c>
      <c r="P224" s="293"/>
      <c r="Q224" s="301"/>
    </row>
    <row r="225" spans="3:17" ht="14.25" customHeight="1" x14ac:dyDescent="0.3">
      <c r="C225" s="305"/>
      <c r="D225" s="293"/>
      <c r="E225" s="293"/>
      <c r="F225" s="301"/>
      <c r="G225" s="5"/>
      <c r="H225" s="5"/>
      <c r="I225" s="5"/>
      <c r="J225" s="5"/>
      <c r="K225" s="5"/>
      <c r="L225" s="5"/>
      <c r="M225" s="5"/>
      <c r="N225" s="6"/>
      <c r="O225" s="5"/>
      <c r="P225" s="5"/>
      <c r="Q225" s="6"/>
    </row>
    <row r="226" spans="3:17" ht="14.25" customHeight="1" x14ac:dyDescent="0.3">
      <c r="C226" s="305"/>
      <c r="D226" s="293"/>
      <c r="E226" s="293"/>
      <c r="F226" s="301"/>
      <c r="G226" s="5"/>
      <c r="H226" s="5"/>
      <c r="I226" s="5"/>
      <c r="J226" s="5"/>
      <c r="K226" s="5"/>
      <c r="L226" s="5"/>
      <c r="M226" s="5"/>
      <c r="N226" s="6"/>
      <c r="O226" s="303" t="s">
        <v>62</v>
      </c>
      <c r="P226" s="293"/>
      <c r="Q226" s="301"/>
    </row>
    <row r="227" spans="3:17" ht="14.25" customHeight="1" x14ac:dyDescent="0.3">
      <c r="C227" s="305"/>
      <c r="D227" s="293"/>
      <c r="E227" s="293"/>
      <c r="F227" s="301"/>
      <c r="G227" s="5"/>
      <c r="H227" s="5"/>
      <c r="I227" s="5"/>
      <c r="J227" s="5"/>
      <c r="K227" s="5"/>
      <c r="L227" s="5"/>
      <c r="M227" s="5"/>
      <c r="N227" s="6"/>
      <c r="O227" s="5"/>
      <c r="P227" s="5"/>
      <c r="Q227" s="6"/>
    </row>
    <row r="228" spans="3:17" ht="14.25" customHeight="1" x14ac:dyDescent="0.3">
      <c r="C228" s="305"/>
      <c r="D228" s="293"/>
      <c r="E228" s="293"/>
      <c r="F228" s="301"/>
      <c r="G228" s="383"/>
      <c r="H228" s="294"/>
      <c r="I228" s="5"/>
      <c r="J228" s="5"/>
      <c r="K228" s="5"/>
      <c r="L228" s="5"/>
      <c r="M228" s="5"/>
      <c r="N228" s="6"/>
      <c r="O228" s="303" t="s">
        <v>39</v>
      </c>
      <c r="P228" s="293"/>
      <c r="Q228" s="301"/>
    </row>
    <row r="229" spans="3:17" ht="14.25" customHeight="1" x14ac:dyDescent="0.3">
      <c r="C229" s="305"/>
      <c r="D229" s="293"/>
      <c r="E229" s="293"/>
      <c r="F229" s="301"/>
      <c r="G229" s="5"/>
      <c r="H229" s="5"/>
      <c r="I229" s="5"/>
      <c r="J229" s="5"/>
      <c r="K229" s="5"/>
      <c r="L229" s="5"/>
      <c r="M229" s="5"/>
      <c r="N229" s="6"/>
      <c r="O229" s="5"/>
      <c r="P229" s="5"/>
      <c r="Q229" s="6"/>
    </row>
    <row r="230" spans="3:17" ht="14.25" customHeight="1" x14ac:dyDescent="0.3">
      <c r="C230" s="305"/>
      <c r="D230" s="293"/>
      <c r="E230" s="293"/>
      <c r="F230" s="301"/>
      <c r="G230" s="5"/>
      <c r="H230" s="5"/>
      <c r="I230" s="5"/>
      <c r="J230" s="5"/>
      <c r="K230" s="5"/>
      <c r="L230" s="5"/>
      <c r="M230" s="5"/>
      <c r="N230" s="6"/>
      <c r="O230" s="5"/>
      <c r="P230" s="5"/>
      <c r="Q230" s="6"/>
    </row>
    <row r="231" spans="3:17" ht="14.25" customHeight="1" x14ac:dyDescent="0.3">
      <c r="C231" s="305"/>
      <c r="D231" s="293"/>
      <c r="E231" s="293"/>
      <c r="F231" s="301"/>
      <c r="G231" s="5"/>
      <c r="H231" s="5"/>
      <c r="I231" s="5"/>
      <c r="J231" s="5"/>
      <c r="K231" s="5"/>
      <c r="L231" s="5"/>
      <c r="M231" s="5"/>
      <c r="N231" s="6"/>
      <c r="O231" s="5"/>
      <c r="P231" s="5"/>
      <c r="Q231" s="6"/>
    </row>
    <row r="232" spans="3:17" ht="14.25" customHeight="1" x14ac:dyDescent="0.3">
      <c r="C232" s="305"/>
      <c r="D232" s="293"/>
      <c r="E232" s="293"/>
      <c r="F232" s="301"/>
      <c r="G232" s="5"/>
      <c r="H232" s="5"/>
      <c r="I232" s="5"/>
      <c r="J232" s="5"/>
      <c r="K232" s="5"/>
      <c r="L232" s="5"/>
      <c r="M232" s="5"/>
      <c r="N232" s="6"/>
      <c r="O232" s="5"/>
      <c r="P232" s="5"/>
      <c r="Q232" s="6"/>
    </row>
    <row r="233" spans="3:17" ht="14.25" customHeight="1" x14ac:dyDescent="0.3">
      <c r="C233" s="305"/>
      <c r="D233" s="293"/>
      <c r="E233" s="293"/>
      <c r="F233" s="301"/>
      <c r="G233" s="5"/>
      <c r="H233" s="5"/>
      <c r="I233" s="5"/>
      <c r="J233" s="5"/>
      <c r="K233" s="5"/>
      <c r="L233" s="5"/>
      <c r="M233" s="5"/>
      <c r="N233" s="6"/>
      <c r="O233" s="5"/>
      <c r="P233" s="5"/>
      <c r="Q233" s="6"/>
    </row>
    <row r="234" spans="3:17" ht="14.25" customHeight="1" x14ac:dyDescent="0.3">
      <c r="C234" s="305"/>
      <c r="D234" s="293"/>
      <c r="E234" s="293"/>
      <c r="F234" s="301"/>
      <c r="G234" s="5"/>
      <c r="H234" s="5"/>
      <c r="I234" s="5"/>
      <c r="J234" s="5"/>
      <c r="K234" s="5"/>
      <c r="L234" s="5"/>
      <c r="M234" s="5"/>
      <c r="N234" s="6"/>
      <c r="O234" s="5"/>
      <c r="P234" s="81" t="s">
        <v>78</v>
      </c>
      <c r="Q234" s="6"/>
    </row>
    <row r="235" spans="3:17" ht="14.25" customHeight="1" x14ac:dyDescent="0.3">
      <c r="C235" s="305"/>
      <c r="D235" s="293"/>
      <c r="E235" s="293"/>
      <c r="F235" s="301"/>
      <c r="G235" s="5"/>
      <c r="H235" s="5"/>
      <c r="I235" s="5"/>
      <c r="J235" s="5"/>
      <c r="K235" s="5"/>
      <c r="L235" s="5"/>
      <c r="M235" s="5"/>
      <c r="N235" s="6"/>
      <c r="O235" s="5"/>
      <c r="P235" s="5"/>
      <c r="Q235" s="6"/>
    </row>
    <row r="236" spans="3:17" ht="14.25" customHeight="1" x14ac:dyDescent="0.3">
      <c r="C236" s="401"/>
      <c r="D236" s="298"/>
      <c r="E236" s="298"/>
      <c r="F236" s="328"/>
      <c r="G236" s="8"/>
      <c r="H236" s="8"/>
      <c r="I236" s="8"/>
      <c r="J236" s="8"/>
      <c r="K236" s="8"/>
      <c r="L236" s="8"/>
      <c r="M236" s="8"/>
      <c r="N236" s="9"/>
      <c r="O236" s="8"/>
      <c r="P236" s="8"/>
      <c r="Q236" s="9"/>
    </row>
    <row r="237" spans="3:17" ht="14.25" customHeight="1" x14ac:dyDescent="0.3">
      <c r="C237" s="111"/>
      <c r="D237" s="111"/>
      <c r="E237" s="111"/>
      <c r="F237" s="111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spans="3:17" ht="14.25" customHeight="1" x14ac:dyDescent="0.3">
      <c r="C238" s="111"/>
      <c r="D238" s="111"/>
      <c r="E238" s="111"/>
      <c r="F238" s="111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 spans="3:17" ht="14.25" customHeight="1" x14ac:dyDescent="0.3">
      <c r="C239" s="111"/>
      <c r="D239" s="111"/>
      <c r="E239" s="111"/>
      <c r="F239" s="111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 spans="3:17" ht="14.25" customHeight="1" x14ac:dyDescent="0.3">
      <c r="C240" s="111"/>
      <c r="D240" s="111"/>
      <c r="E240" s="111"/>
      <c r="F240" s="111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 spans="3:17" ht="14.25" customHeight="1" x14ac:dyDescent="0.3"/>
    <row r="242" spans="3:17" ht="14.25" customHeight="1" x14ac:dyDescent="0.3"/>
    <row r="243" spans="3:17" ht="14.25" customHeight="1" x14ac:dyDescent="0.3"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</row>
    <row r="244" spans="3:17" ht="14.25" customHeight="1" x14ac:dyDescent="0.35">
      <c r="C244" s="300" t="s">
        <v>0</v>
      </c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3"/>
      <c r="P244" s="293"/>
      <c r="Q244" s="301"/>
    </row>
    <row r="245" spans="3:17" ht="14.25" customHeight="1" x14ac:dyDescent="0.3">
      <c r="C245" s="305" t="s">
        <v>5</v>
      </c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293"/>
      <c r="P245" s="293"/>
      <c r="Q245" s="301"/>
    </row>
    <row r="246" spans="3:17" ht="14.25" customHeight="1" x14ac:dyDescent="0.45">
      <c r="C246" s="306" t="s">
        <v>30</v>
      </c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301"/>
    </row>
    <row r="247" spans="3:17" ht="14.25" customHeight="1" x14ac:dyDescent="0.3">
      <c r="C247" s="307"/>
      <c r="D247" s="294"/>
      <c r="E247" s="5"/>
      <c r="F247" s="5"/>
      <c r="G247" s="5"/>
      <c r="H247" s="5"/>
      <c r="I247" s="5" t="s">
        <v>263</v>
      </c>
      <c r="J247" s="5"/>
      <c r="K247" s="5"/>
      <c r="L247" s="5" t="s">
        <v>264</v>
      </c>
      <c r="M247" s="5"/>
      <c r="N247" s="5"/>
      <c r="O247" s="11"/>
      <c r="P247" s="5"/>
      <c r="Q247" s="6"/>
    </row>
    <row r="248" spans="3:17" ht="14.25" customHeight="1" x14ac:dyDescent="0.3">
      <c r="C248" s="124" t="s">
        <v>42</v>
      </c>
      <c r="D248" s="125" t="s">
        <v>43</v>
      </c>
      <c r="E248" s="126" t="s">
        <v>12</v>
      </c>
      <c r="F248" s="127" t="s">
        <v>44</v>
      </c>
      <c r="G248" s="5"/>
      <c r="H248" s="5"/>
      <c r="I248" s="5"/>
      <c r="J248" s="207"/>
      <c r="K248" s="5"/>
      <c r="L248" s="5"/>
      <c r="M248" s="5"/>
      <c r="N248" s="5"/>
      <c r="O248" s="5"/>
      <c r="P248" s="5"/>
      <c r="Q248" s="6"/>
    </row>
    <row r="249" spans="3:17" ht="14.25" customHeight="1" x14ac:dyDescent="0.3">
      <c r="C249" s="305"/>
      <c r="D249" s="294"/>
      <c r="E249" s="5"/>
      <c r="F249" s="134"/>
      <c r="G249" s="292"/>
      <c r="H249" s="294"/>
      <c r="I249" s="5"/>
      <c r="J249" s="5"/>
      <c r="K249" s="207"/>
      <c r="L249" s="5"/>
      <c r="M249" s="5"/>
      <c r="N249" s="6"/>
      <c r="O249" s="302" t="s">
        <v>246</v>
      </c>
      <c r="P249" s="293"/>
      <c r="Q249" s="301"/>
    </row>
    <row r="250" spans="3:17" ht="14.25" customHeight="1" x14ac:dyDescent="0.3">
      <c r="C250" s="146" t="s">
        <v>156</v>
      </c>
      <c r="D250" s="147"/>
      <c r="E250" s="147"/>
      <c r="F250" s="148"/>
      <c r="G250" s="4"/>
      <c r="H250" s="5"/>
      <c r="I250" s="5"/>
      <c r="J250" s="5"/>
      <c r="K250" s="5"/>
      <c r="L250" s="5"/>
      <c r="M250" s="5"/>
      <c r="N250" s="6"/>
      <c r="O250" s="302" t="s">
        <v>176</v>
      </c>
      <c r="P250" s="293"/>
      <c r="Q250" s="301"/>
    </row>
    <row r="251" spans="3:17" ht="14.25" customHeight="1" x14ac:dyDescent="0.3">
      <c r="C251" s="146"/>
      <c r="D251" s="147"/>
      <c r="E251" s="147">
        <v>320000</v>
      </c>
      <c r="F251" s="149" t="s">
        <v>157</v>
      </c>
      <c r="G251" s="204"/>
      <c r="H251" s="70"/>
      <c r="I251" s="5"/>
      <c r="J251" s="5"/>
      <c r="K251" s="5"/>
      <c r="L251" s="5"/>
      <c r="M251" s="5"/>
      <c r="N251" s="6"/>
      <c r="O251" s="5"/>
      <c r="P251" s="5"/>
      <c r="Q251" s="6"/>
    </row>
    <row r="252" spans="3:17" ht="14.25" customHeight="1" x14ac:dyDescent="0.3">
      <c r="C252" s="150" t="s">
        <v>158</v>
      </c>
      <c r="D252" s="151"/>
      <c r="E252" s="151"/>
      <c r="F252" s="152"/>
      <c r="G252" s="204"/>
      <c r="H252" s="70"/>
      <c r="I252" s="5"/>
      <c r="J252" s="5"/>
      <c r="K252" s="5"/>
      <c r="L252" s="5"/>
      <c r="M252" s="5"/>
      <c r="N252" s="6"/>
      <c r="O252" s="303" t="s">
        <v>15</v>
      </c>
      <c r="P252" s="293"/>
      <c r="Q252" s="301"/>
    </row>
    <row r="253" spans="3:17" ht="14.25" customHeight="1" x14ac:dyDescent="0.3">
      <c r="C253" s="150"/>
      <c r="D253" s="151"/>
      <c r="E253" s="151">
        <v>91452</v>
      </c>
      <c r="F253" s="152" t="s">
        <v>157</v>
      </c>
      <c r="G253" s="204"/>
      <c r="H253" s="70"/>
      <c r="I253" s="5"/>
      <c r="J253" s="5"/>
      <c r="K253" s="5"/>
      <c r="L253" s="5"/>
      <c r="M253" s="5"/>
      <c r="N253" s="6"/>
      <c r="O253" s="5"/>
      <c r="P253" s="5"/>
      <c r="Q253" s="6"/>
    </row>
    <row r="254" spans="3:17" ht="14.25" customHeight="1" x14ac:dyDescent="0.3">
      <c r="C254" s="153" t="s">
        <v>159</v>
      </c>
      <c r="D254" s="14"/>
      <c r="E254" s="154">
        <f>(E253/E251)*100</f>
        <v>28.578750000000003</v>
      </c>
      <c r="F254" s="155" t="s">
        <v>160</v>
      </c>
      <c r="G254" s="292"/>
      <c r="H254" s="294"/>
      <c r="I254" s="5"/>
      <c r="J254" s="5"/>
      <c r="K254" s="207"/>
      <c r="L254" s="5"/>
      <c r="M254" s="5"/>
      <c r="N254" s="6"/>
      <c r="O254" s="303" t="s">
        <v>262</v>
      </c>
      <c r="P254" s="293"/>
      <c r="Q254" s="301"/>
    </row>
    <row r="255" spans="3:17" ht="14.25" customHeight="1" x14ac:dyDescent="0.3">
      <c r="C255" s="156" t="s">
        <v>161</v>
      </c>
      <c r="D255" s="157"/>
      <c r="E255" s="157"/>
      <c r="F255" s="158"/>
      <c r="G255" s="4"/>
      <c r="H255" s="5"/>
      <c r="I255" s="5"/>
      <c r="J255" s="5"/>
      <c r="K255" s="5"/>
      <c r="L255" s="5"/>
      <c r="M255" s="5"/>
      <c r="N255" s="6"/>
      <c r="O255" s="5"/>
      <c r="P255" s="5"/>
      <c r="Q255" s="6"/>
    </row>
    <row r="256" spans="3:17" ht="14.25" customHeight="1" x14ac:dyDescent="0.3">
      <c r="C256" s="156"/>
      <c r="D256" s="157"/>
      <c r="E256" s="157">
        <v>90000</v>
      </c>
      <c r="F256" s="158" t="s">
        <v>157</v>
      </c>
      <c r="G256" s="4"/>
      <c r="H256" s="5"/>
      <c r="I256" s="5"/>
      <c r="J256" s="5"/>
      <c r="K256" s="5"/>
      <c r="L256" s="5"/>
      <c r="M256" s="5"/>
      <c r="N256" s="6"/>
      <c r="O256" s="303" t="s">
        <v>5</v>
      </c>
      <c r="P256" s="293"/>
      <c r="Q256" s="301"/>
    </row>
    <row r="257" spans="3:38" ht="14.25" customHeight="1" x14ac:dyDescent="0.3">
      <c r="C257" s="153" t="s">
        <v>162</v>
      </c>
      <c r="D257" s="14"/>
      <c r="E257" s="14"/>
      <c r="F257" s="155"/>
      <c r="G257" s="4"/>
      <c r="H257" s="5"/>
      <c r="I257" s="5"/>
      <c r="J257" s="5"/>
      <c r="K257" s="5"/>
      <c r="L257" s="5"/>
      <c r="M257" s="5"/>
      <c r="N257" s="6"/>
      <c r="O257" s="5"/>
      <c r="P257" s="5"/>
      <c r="Q257" s="6"/>
    </row>
    <row r="258" spans="3:38" ht="14.25" customHeight="1" x14ac:dyDescent="0.3">
      <c r="C258" s="153"/>
      <c r="D258" s="14"/>
      <c r="E258" s="14">
        <f>(E253/E256)*100</f>
        <v>101.61333333333333</v>
      </c>
      <c r="F258" s="155" t="s">
        <v>160</v>
      </c>
      <c r="G258" s="4"/>
      <c r="H258" s="5"/>
      <c r="I258" s="5"/>
      <c r="J258" s="5"/>
      <c r="K258" s="5"/>
      <c r="L258" s="5"/>
      <c r="M258" s="5"/>
      <c r="N258" s="6"/>
      <c r="O258" s="303" t="s">
        <v>248</v>
      </c>
      <c r="P258" s="293"/>
      <c r="Q258" s="301"/>
    </row>
    <row r="259" spans="3:38" ht="14.25" customHeight="1" x14ac:dyDescent="0.3">
      <c r="C259" s="150" t="s">
        <v>163</v>
      </c>
      <c r="D259" s="151"/>
      <c r="E259" s="151"/>
      <c r="F259" s="159"/>
      <c r="G259" s="4"/>
      <c r="H259" s="5"/>
      <c r="I259" s="5"/>
      <c r="J259" s="5"/>
      <c r="K259" s="5"/>
      <c r="L259" s="5"/>
      <c r="M259" s="5"/>
      <c r="N259" s="6"/>
      <c r="O259" s="5"/>
      <c r="P259" s="5"/>
      <c r="Q259" s="6"/>
    </row>
    <row r="260" spans="3:38" ht="14.25" customHeight="1" x14ac:dyDescent="0.3">
      <c r="C260" s="150"/>
      <c r="D260" s="151"/>
      <c r="E260" s="160">
        <v>30000</v>
      </c>
      <c r="F260" s="152" t="s">
        <v>157</v>
      </c>
      <c r="G260" s="292"/>
      <c r="H260" s="294"/>
      <c r="I260" s="5"/>
      <c r="J260" s="5"/>
      <c r="K260" s="5"/>
      <c r="L260" s="5"/>
      <c r="M260" s="5"/>
      <c r="N260" s="6"/>
      <c r="O260" s="303" t="s">
        <v>249</v>
      </c>
      <c r="P260" s="293"/>
      <c r="Q260" s="301"/>
    </row>
    <row r="261" spans="3:38" ht="14.25" customHeight="1" x14ac:dyDescent="0.3">
      <c r="C261" s="146" t="s">
        <v>164</v>
      </c>
      <c r="D261" s="147"/>
      <c r="E261" s="147"/>
      <c r="F261" s="161"/>
      <c r="G261" s="4"/>
      <c r="H261" s="5"/>
      <c r="I261" s="5"/>
      <c r="J261" s="5"/>
      <c r="K261" s="5"/>
      <c r="L261" s="5"/>
      <c r="M261" s="5"/>
      <c r="N261" s="6"/>
      <c r="O261" s="5"/>
      <c r="P261" s="5"/>
      <c r="Q261" s="6"/>
    </row>
    <row r="262" spans="3:38" ht="14.25" customHeight="1" x14ac:dyDescent="0.3">
      <c r="C262" s="146"/>
      <c r="D262" s="147"/>
      <c r="E262" s="147">
        <v>7182</v>
      </c>
      <c r="F262" s="149" t="s">
        <v>157</v>
      </c>
      <c r="G262" s="4"/>
      <c r="H262" s="5"/>
      <c r="I262" s="5"/>
      <c r="J262" s="5"/>
      <c r="K262" s="5"/>
      <c r="L262" s="5"/>
      <c r="M262" s="5"/>
      <c r="N262" s="6"/>
      <c r="O262" s="303" t="s">
        <v>251</v>
      </c>
      <c r="P262" s="293"/>
      <c r="Q262" s="301"/>
    </row>
    <row r="263" spans="3:38" ht="14.25" customHeight="1" x14ac:dyDescent="0.3">
      <c r="C263" s="150" t="s">
        <v>165</v>
      </c>
      <c r="D263" s="151"/>
      <c r="E263" s="151"/>
      <c r="F263" s="159"/>
      <c r="G263" s="4"/>
      <c r="H263" s="5"/>
      <c r="I263" s="5"/>
      <c r="J263" s="5"/>
      <c r="K263" s="5"/>
      <c r="L263" s="5"/>
      <c r="M263" s="5"/>
      <c r="N263" s="6"/>
      <c r="O263" s="5"/>
      <c r="P263" s="5"/>
      <c r="Q263" s="6"/>
    </row>
    <row r="264" spans="3:38" ht="14.25" customHeight="1" x14ac:dyDescent="0.3">
      <c r="C264" s="150"/>
      <c r="D264" s="151"/>
      <c r="E264" s="162">
        <f>(30000/31)*6</f>
        <v>5806.4516129032254</v>
      </c>
      <c r="F264" s="159" t="s">
        <v>157</v>
      </c>
      <c r="G264" s="4"/>
      <c r="H264" s="5"/>
      <c r="I264" s="5"/>
      <c r="J264" s="5"/>
      <c r="K264" s="5"/>
      <c r="L264" s="5"/>
      <c r="M264" s="5"/>
      <c r="N264" s="6"/>
      <c r="O264" s="5"/>
      <c r="P264" s="5"/>
      <c r="Q264" s="6"/>
    </row>
    <row r="265" spans="3:38" ht="14.25" customHeight="1" x14ac:dyDescent="0.3">
      <c r="C265" s="153" t="s">
        <v>166</v>
      </c>
      <c r="D265" s="14"/>
      <c r="E265" s="14"/>
      <c r="F265" s="155"/>
      <c r="G265" s="4"/>
      <c r="H265" s="5"/>
      <c r="I265" s="5"/>
      <c r="J265" s="5"/>
      <c r="K265" s="5"/>
      <c r="L265" s="5"/>
      <c r="M265" s="5"/>
      <c r="N265" s="6"/>
      <c r="O265" s="5"/>
      <c r="P265" s="5"/>
      <c r="Q265" s="6"/>
    </row>
    <row r="266" spans="3:38" ht="14.25" customHeight="1" x14ac:dyDescent="0.3">
      <c r="C266" s="153"/>
      <c r="D266" s="14"/>
      <c r="E266" s="14">
        <f>E262/E260%</f>
        <v>23.94</v>
      </c>
      <c r="F266" s="155" t="s">
        <v>160</v>
      </c>
      <c r="G266" s="4"/>
      <c r="H266" s="5"/>
      <c r="I266" s="5"/>
      <c r="J266" s="5"/>
      <c r="K266" s="5"/>
      <c r="L266" s="5"/>
      <c r="M266" s="5"/>
      <c r="N266" s="6"/>
      <c r="O266" s="5"/>
      <c r="P266" s="81" t="s">
        <v>78</v>
      </c>
      <c r="Q266" s="6"/>
    </row>
    <row r="267" spans="3:38" ht="14.25" customHeight="1" x14ac:dyDescent="0.3">
      <c r="C267" s="163" t="s">
        <v>167</v>
      </c>
      <c r="D267" s="164"/>
      <c r="E267" s="164"/>
      <c r="F267" s="165"/>
      <c r="G267" s="4"/>
      <c r="H267" s="5"/>
      <c r="I267" s="5"/>
      <c r="J267" s="5"/>
      <c r="K267" s="5"/>
      <c r="L267" s="5"/>
      <c r="M267" s="5"/>
      <c r="N267" s="6"/>
      <c r="O267" s="5"/>
      <c r="P267" s="5"/>
      <c r="Q267" s="6"/>
    </row>
    <row r="268" spans="3:38" ht="14.25" customHeight="1" x14ac:dyDescent="0.3">
      <c r="C268" s="166"/>
      <c r="D268" s="167"/>
      <c r="E268" s="167">
        <f>E262/E264%</f>
        <v>123.69</v>
      </c>
      <c r="F268" s="168" t="s">
        <v>160</v>
      </c>
      <c r="G268" s="7"/>
      <c r="H268" s="8"/>
      <c r="I268" s="8"/>
      <c r="J268" s="8"/>
      <c r="K268" s="8"/>
      <c r="L268" s="8"/>
      <c r="M268" s="8"/>
      <c r="N268" s="9"/>
      <c r="O268" s="8"/>
      <c r="P268" s="8"/>
      <c r="Q268" s="9"/>
    </row>
    <row r="269" spans="3:38" ht="14.25" customHeight="1" x14ac:dyDescent="0.3"/>
    <row r="270" spans="3:38" ht="14.25" customHeight="1" x14ac:dyDescent="0.3"/>
    <row r="271" spans="3:38" ht="14.25" customHeight="1" x14ac:dyDescent="0.3"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W271" s="172" t="s">
        <v>238</v>
      </c>
      <c r="X271" s="415" t="s">
        <v>5</v>
      </c>
      <c r="Y271" s="315"/>
      <c r="Z271" s="309"/>
      <c r="AA271" s="415" t="s">
        <v>248</v>
      </c>
      <c r="AB271" s="315"/>
      <c r="AC271" s="309"/>
      <c r="AD271" s="415" t="s">
        <v>251</v>
      </c>
      <c r="AE271" s="315"/>
      <c r="AF271" s="309"/>
      <c r="AG271" s="415" t="s">
        <v>249</v>
      </c>
      <c r="AH271" s="315"/>
      <c r="AI271" s="309"/>
      <c r="AJ271" s="415" t="s">
        <v>317</v>
      </c>
      <c r="AK271" s="315"/>
      <c r="AL271" s="309"/>
    </row>
    <row r="272" spans="3:38" ht="14.25" customHeight="1" x14ac:dyDescent="0.35">
      <c r="C272" s="300" t="s">
        <v>0</v>
      </c>
      <c r="D272" s="293"/>
      <c r="E272" s="293"/>
      <c r="F272" s="293"/>
      <c r="G272" s="293"/>
      <c r="H272" s="293"/>
      <c r="I272" s="293"/>
      <c r="J272" s="293"/>
      <c r="K272" s="293"/>
      <c r="L272" s="293"/>
      <c r="M272" s="293"/>
      <c r="N272" s="293"/>
      <c r="O272" s="293"/>
      <c r="P272" s="293"/>
      <c r="Q272" s="301"/>
      <c r="W272" s="172"/>
      <c r="X272" s="172" t="s">
        <v>318</v>
      </c>
      <c r="Y272" s="172" t="s">
        <v>319</v>
      </c>
      <c r="Z272" s="172" t="s">
        <v>160</v>
      </c>
      <c r="AA272" s="172" t="s">
        <v>318</v>
      </c>
      <c r="AB272" s="172" t="s">
        <v>319</v>
      </c>
      <c r="AC272" s="172" t="s">
        <v>160</v>
      </c>
      <c r="AD272" s="172" t="s">
        <v>318</v>
      </c>
      <c r="AE272" s="172" t="s">
        <v>319</v>
      </c>
      <c r="AF272" s="172" t="s">
        <v>160</v>
      </c>
      <c r="AG272" s="172" t="s">
        <v>318</v>
      </c>
      <c r="AH272" s="172" t="s">
        <v>319</v>
      </c>
      <c r="AI272" s="172" t="s">
        <v>160</v>
      </c>
      <c r="AJ272" s="172" t="s">
        <v>318</v>
      </c>
      <c r="AK272" s="172" t="s">
        <v>319</v>
      </c>
      <c r="AL272" s="172" t="s">
        <v>160</v>
      </c>
    </row>
    <row r="273" spans="3:38" ht="14.25" customHeight="1" x14ac:dyDescent="0.3">
      <c r="C273" s="305"/>
      <c r="D273" s="293"/>
      <c r="E273" s="293"/>
      <c r="F273" s="293"/>
      <c r="G273" s="293"/>
      <c r="H273" s="293"/>
      <c r="I273" s="293"/>
      <c r="J273" s="293"/>
      <c r="K273" s="293"/>
      <c r="L273" s="293"/>
      <c r="M273" s="293"/>
      <c r="N273" s="293"/>
      <c r="O273" s="293"/>
      <c r="P273" s="293"/>
      <c r="Q273" s="301"/>
      <c r="W273" s="172">
        <v>1</v>
      </c>
      <c r="X273" s="172"/>
      <c r="Y273" s="172"/>
      <c r="Z273" s="172"/>
      <c r="AA273" s="172"/>
      <c r="AB273" s="172"/>
      <c r="AC273" s="172"/>
      <c r="AD273" s="172"/>
      <c r="AE273" s="172"/>
      <c r="AF273" s="172"/>
      <c r="AG273" s="172"/>
      <c r="AH273" s="172"/>
      <c r="AI273" s="172"/>
      <c r="AJ273" s="172"/>
      <c r="AK273" s="172"/>
      <c r="AL273" s="172"/>
    </row>
    <row r="274" spans="3:38" ht="14.25" customHeight="1" x14ac:dyDescent="0.45">
      <c r="C274" s="306" t="s">
        <v>320</v>
      </c>
      <c r="D274" s="293"/>
      <c r="E274" s="293"/>
      <c r="F274" s="293"/>
      <c r="G274" s="293"/>
      <c r="H274" s="293"/>
      <c r="I274" s="293"/>
      <c r="J274" s="293"/>
      <c r="K274" s="293"/>
      <c r="L274" s="293"/>
      <c r="M274" s="293"/>
      <c r="N274" s="293"/>
      <c r="O274" s="293"/>
      <c r="P274" s="293"/>
      <c r="Q274" s="301"/>
      <c r="W274" s="172">
        <v>2</v>
      </c>
      <c r="X274" s="172"/>
      <c r="Y274" s="172"/>
      <c r="Z274" s="172"/>
      <c r="AA274" s="172"/>
      <c r="AB274" s="172"/>
      <c r="AC274" s="172"/>
      <c r="AD274" s="172"/>
      <c r="AE274" s="172"/>
      <c r="AF274" s="172"/>
      <c r="AG274" s="172"/>
      <c r="AH274" s="172"/>
      <c r="AI274" s="172"/>
      <c r="AJ274" s="172"/>
      <c r="AK274" s="172"/>
      <c r="AL274" s="172"/>
    </row>
    <row r="275" spans="3:38" ht="14.25" customHeight="1" x14ac:dyDescent="0.3">
      <c r="C275" s="307"/>
      <c r="D275" s="294"/>
      <c r="E275" s="5"/>
      <c r="F275" s="5"/>
      <c r="G275" s="5"/>
      <c r="H275" s="5"/>
      <c r="I275" s="5" t="s">
        <v>263</v>
      </c>
      <c r="J275" s="5"/>
      <c r="K275" s="5"/>
      <c r="L275" s="5" t="s">
        <v>264</v>
      </c>
      <c r="M275" s="5"/>
      <c r="N275" s="5"/>
      <c r="O275" s="11"/>
      <c r="P275" s="5"/>
      <c r="Q275" s="6"/>
      <c r="W275" s="172">
        <v>3</v>
      </c>
      <c r="X275" s="172"/>
      <c r="Y275" s="172"/>
      <c r="Z275" s="172"/>
      <c r="AA275" s="172"/>
      <c r="AB275" s="172"/>
      <c r="AC275" s="172"/>
      <c r="AD275" s="172"/>
      <c r="AE275" s="172"/>
      <c r="AF275" s="172"/>
      <c r="AG275" s="172"/>
      <c r="AH275" s="172"/>
      <c r="AI275" s="172"/>
      <c r="AJ275" s="172"/>
      <c r="AK275" s="172"/>
      <c r="AL275" s="172"/>
    </row>
    <row r="276" spans="3:38" ht="14.25" customHeight="1" x14ac:dyDescent="0.3">
      <c r="C276" s="124" t="s">
        <v>42</v>
      </c>
      <c r="D276" s="125" t="s">
        <v>43</v>
      </c>
      <c r="E276" s="126" t="s">
        <v>12</v>
      </c>
      <c r="F276" s="127" t="s">
        <v>44</v>
      </c>
      <c r="G276" s="423" t="s">
        <v>136</v>
      </c>
      <c r="H276" s="315"/>
      <c r="I276" s="315"/>
      <c r="J276" s="315"/>
      <c r="K276" s="315"/>
      <c r="L276" s="315"/>
      <c r="M276" s="315"/>
      <c r="N276" s="309"/>
      <c r="O276" s="5"/>
      <c r="P276" s="5"/>
      <c r="Q276" s="6"/>
      <c r="W276" s="172">
        <v>4</v>
      </c>
      <c r="X276" s="172"/>
      <c r="Y276" s="172"/>
      <c r="Z276" s="172"/>
      <c r="AA276" s="172"/>
      <c r="AB276" s="172"/>
      <c r="AC276" s="172"/>
      <c r="AD276" s="172"/>
      <c r="AE276" s="172"/>
      <c r="AF276" s="172"/>
      <c r="AG276" s="172"/>
      <c r="AH276" s="172"/>
      <c r="AI276" s="172"/>
      <c r="AJ276" s="172"/>
      <c r="AK276" s="172"/>
      <c r="AL276" s="172"/>
    </row>
    <row r="277" spans="3:38" ht="14.25" customHeight="1" x14ac:dyDescent="0.3">
      <c r="C277" s="424" t="s">
        <v>136</v>
      </c>
      <c r="D277" s="294"/>
      <c r="E277" s="425" t="s">
        <v>137</v>
      </c>
      <c r="F277" s="301"/>
      <c r="G277" s="292"/>
      <c r="H277" s="294"/>
      <c r="I277" s="5"/>
      <c r="J277" s="5"/>
      <c r="K277" s="207"/>
      <c r="L277" s="5"/>
      <c r="M277" s="5"/>
      <c r="N277" s="6"/>
      <c r="O277" s="302" t="s">
        <v>246</v>
      </c>
      <c r="P277" s="293"/>
      <c r="Q277" s="301"/>
      <c r="W277" s="172">
        <v>5</v>
      </c>
      <c r="X277" s="172"/>
      <c r="Y277" s="172"/>
      <c r="Z277" s="172"/>
      <c r="AA277" s="172"/>
      <c r="AB277" s="172"/>
      <c r="AC277" s="172"/>
      <c r="AD277" s="172"/>
      <c r="AE277" s="172"/>
      <c r="AF277" s="172"/>
      <c r="AG277" s="172"/>
      <c r="AH277" s="172"/>
      <c r="AI277" s="172"/>
      <c r="AJ277" s="172"/>
      <c r="AK277" s="172"/>
      <c r="AL277" s="172"/>
    </row>
    <row r="278" spans="3:38" ht="14.25" customHeight="1" x14ac:dyDescent="0.3">
      <c r="C278" s="146" t="s">
        <v>156</v>
      </c>
      <c r="D278" s="147"/>
      <c r="E278" s="147"/>
      <c r="F278" s="148"/>
      <c r="G278" s="4"/>
      <c r="H278" s="5"/>
      <c r="I278" s="5"/>
      <c r="J278" s="5"/>
      <c r="K278" s="5"/>
      <c r="L278" s="5"/>
      <c r="M278" s="5"/>
      <c r="N278" s="6"/>
      <c r="O278" s="302" t="s">
        <v>176</v>
      </c>
      <c r="P278" s="293"/>
      <c r="Q278" s="301"/>
      <c r="W278" s="172">
        <v>6</v>
      </c>
      <c r="X278" s="172"/>
      <c r="Y278" s="172"/>
      <c r="Z278" s="172"/>
      <c r="AA278" s="172"/>
      <c r="AB278" s="172"/>
      <c r="AC278" s="172"/>
      <c r="AD278" s="172"/>
      <c r="AE278" s="172"/>
      <c r="AF278" s="172"/>
      <c r="AG278" s="172"/>
      <c r="AH278" s="172"/>
      <c r="AI278" s="172"/>
      <c r="AJ278" s="172"/>
      <c r="AK278" s="172"/>
      <c r="AL278" s="172"/>
    </row>
    <row r="279" spans="3:38" ht="14.25" customHeight="1" x14ac:dyDescent="0.3">
      <c r="C279" s="146"/>
      <c r="D279" s="147"/>
      <c r="E279" s="147">
        <v>320000</v>
      </c>
      <c r="F279" s="149" t="s">
        <v>157</v>
      </c>
      <c r="G279" s="204"/>
      <c r="H279" s="70"/>
      <c r="I279" s="5"/>
      <c r="J279" s="5"/>
      <c r="K279" s="5"/>
      <c r="L279" s="5"/>
      <c r="M279" s="5"/>
      <c r="N279" s="6"/>
      <c r="O279" s="5"/>
      <c r="P279" s="5"/>
      <c r="Q279" s="6"/>
      <c r="W279" s="172">
        <v>7</v>
      </c>
      <c r="X279" s="172"/>
      <c r="Y279" s="172"/>
      <c r="Z279" s="172"/>
      <c r="AA279" s="172"/>
      <c r="AB279" s="172"/>
      <c r="AC279" s="172"/>
      <c r="AD279" s="172"/>
      <c r="AE279" s="172"/>
      <c r="AF279" s="172"/>
      <c r="AG279" s="172"/>
      <c r="AH279" s="172"/>
      <c r="AI279" s="172"/>
      <c r="AJ279" s="172"/>
      <c r="AK279" s="172"/>
      <c r="AL279" s="172"/>
    </row>
    <row r="280" spans="3:38" ht="14.25" customHeight="1" x14ac:dyDescent="0.3">
      <c r="C280" s="150" t="s">
        <v>158</v>
      </c>
      <c r="D280" s="151"/>
      <c r="E280" s="151"/>
      <c r="F280" s="152"/>
      <c r="G280" s="204"/>
      <c r="H280" s="70"/>
      <c r="I280" s="5"/>
      <c r="J280" s="5"/>
      <c r="K280" s="5"/>
      <c r="L280" s="5"/>
      <c r="M280" s="5"/>
      <c r="N280" s="6"/>
      <c r="O280" s="303" t="s">
        <v>15</v>
      </c>
      <c r="P280" s="293"/>
      <c r="Q280" s="301"/>
      <c r="W280" s="172">
        <v>8</v>
      </c>
      <c r="X280" s="172"/>
      <c r="Y280" s="172"/>
      <c r="Z280" s="172"/>
      <c r="AA280" s="172"/>
      <c r="AB280" s="172"/>
      <c r="AC280" s="172"/>
      <c r="AD280" s="172"/>
      <c r="AE280" s="172"/>
      <c r="AF280" s="172"/>
      <c r="AG280" s="172"/>
      <c r="AH280" s="172"/>
      <c r="AI280" s="172"/>
      <c r="AJ280" s="172"/>
      <c r="AK280" s="172"/>
      <c r="AL280" s="172"/>
    </row>
    <row r="281" spans="3:38" ht="14.25" customHeight="1" x14ac:dyDescent="0.3">
      <c r="C281" s="150"/>
      <c r="D281" s="151"/>
      <c r="E281" s="151">
        <v>206101</v>
      </c>
      <c r="F281" s="152" t="s">
        <v>157</v>
      </c>
      <c r="G281" s="204"/>
      <c r="H281" s="70"/>
      <c r="I281" s="5"/>
      <c r="J281" s="5"/>
      <c r="K281" s="5"/>
      <c r="L281" s="5"/>
      <c r="M281" s="5"/>
      <c r="N281" s="6"/>
      <c r="O281" s="5"/>
      <c r="P281" s="5"/>
      <c r="Q281" s="6"/>
      <c r="W281" s="172">
        <v>9</v>
      </c>
      <c r="X281" s="172"/>
      <c r="Y281" s="172"/>
      <c r="Z281" s="172"/>
      <c r="AA281" s="172"/>
      <c r="AB281" s="172"/>
      <c r="AC281" s="172"/>
      <c r="AD281" s="172"/>
      <c r="AE281" s="172"/>
      <c r="AF281" s="172"/>
      <c r="AG281" s="172"/>
      <c r="AH281" s="172"/>
      <c r="AI281" s="172"/>
      <c r="AJ281" s="172"/>
      <c r="AK281" s="172"/>
      <c r="AL281" s="172"/>
    </row>
    <row r="282" spans="3:38" ht="14.25" customHeight="1" x14ac:dyDescent="0.3">
      <c r="C282" s="153" t="s">
        <v>159</v>
      </c>
      <c r="D282" s="14"/>
      <c r="E282" s="154">
        <f>(E281/E279)*100</f>
        <v>64.406562499999993</v>
      </c>
      <c r="F282" s="155" t="s">
        <v>160</v>
      </c>
      <c r="G282" s="292"/>
      <c r="H282" s="294"/>
      <c r="I282" s="5"/>
      <c r="J282" s="5"/>
      <c r="K282" s="207"/>
      <c r="L282" s="5"/>
      <c r="M282" s="5"/>
      <c r="N282" s="6"/>
      <c r="O282" s="303" t="s">
        <v>30</v>
      </c>
      <c r="P282" s="293"/>
      <c r="Q282" s="301"/>
      <c r="S282" s="80" t="s">
        <v>321</v>
      </c>
      <c r="W282" s="172">
        <v>10</v>
      </c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2"/>
      <c r="AH282" s="172"/>
      <c r="AI282" s="172"/>
      <c r="AJ282" s="172"/>
      <c r="AK282" s="172"/>
      <c r="AL282" s="172"/>
    </row>
    <row r="283" spans="3:38" ht="14.25" customHeight="1" x14ac:dyDescent="0.3">
      <c r="C283" s="156" t="s">
        <v>161</v>
      </c>
      <c r="D283" s="157"/>
      <c r="E283" s="157"/>
      <c r="F283" s="158"/>
      <c r="G283" s="4"/>
      <c r="H283" s="5"/>
      <c r="I283" s="5"/>
      <c r="J283" s="5"/>
      <c r="K283" s="5"/>
      <c r="L283" s="5"/>
      <c r="M283" s="5"/>
      <c r="N283" s="6"/>
      <c r="O283" s="5"/>
      <c r="P283" s="5"/>
      <c r="Q283" s="6"/>
      <c r="W283" s="172">
        <v>11</v>
      </c>
      <c r="X283" s="172"/>
      <c r="Y283" s="172"/>
      <c r="Z283" s="172"/>
      <c r="AA283" s="172"/>
      <c r="AB283" s="172"/>
      <c r="AC283" s="172"/>
      <c r="AD283" s="172"/>
      <c r="AE283" s="172"/>
      <c r="AF283" s="172"/>
      <c r="AG283" s="172"/>
      <c r="AH283" s="172"/>
      <c r="AI283" s="172"/>
      <c r="AJ283" s="172"/>
      <c r="AK283" s="172"/>
      <c r="AL283" s="172"/>
    </row>
    <row r="284" spans="3:38" ht="14.25" customHeight="1" x14ac:dyDescent="0.3">
      <c r="C284" s="156"/>
      <c r="D284" s="157"/>
      <c r="E284" s="157">
        <v>210000</v>
      </c>
      <c r="F284" s="158" t="s">
        <v>157</v>
      </c>
      <c r="G284" s="4"/>
      <c r="H284" s="5"/>
      <c r="I284" s="5"/>
      <c r="J284" s="5"/>
      <c r="K284" s="5"/>
      <c r="L284" s="5"/>
      <c r="M284" s="5"/>
      <c r="N284" s="6"/>
      <c r="O284" s="303" t="s">
        <v>5</v>
      </c>
      <c r="P284" s="293"/>
      <c r="Q284" s="301"/>
      <c r="W284" s="172">
        <v>12</v>
      </c>
      <c r="X284" s="172"/>
      <c r="Y284" s="172"/>
      <c r="Z284" s="172"/>
      <c r="AA284" s="172"/>
      <c r="AB284" s="172"/>
      <c r="AC284" s="172"/>
      <c r="AD284" s="172"/>
      <c r="AE284" s="172"/>
      <c r="AF284" s="172"/>
      <c r="AG284" s="172"/>
      <c r="AH284" s="172"/>
      <c r="AI284" s="172"/>
      <c r="AJ284" s="172"/>
      <c r="AK284" s="172"/>
      <c r="AL284" s="172"/>
    </row>
    <row r="285" spans="3:38" ht="14.25" customHeight="1" x14ac:dyDescent="0.3">
      <c r="C285" s="153" t="s">
        <v>162</v>
      </c>
      <c r="D285" s="14"/>
      <c r="E285" s="14"/>
      <c r="F285" s="155"/>
      <c r="G285" s="4"/>
      <c r="H285" s="5"/>
      <c r="I285" s="5"/>
      <c r="J285" s="5"/>
      <c r="K285" s="5"/>
      <c r="L285" s="5"/>
      <c r="M285" s="5"/>
      <c r="N285" s="6"/>
      <c r="O285" s="5"/>
      <c r="P285" s="5"/>
      <c r="Q285" s="6"/>
      <c r="W285" s="172">
        <v>13</v>
      </c>
      <c r="X285" s="172"/>
      <c r="Y285" s="172"/>
      <c r="Z285" s="172"/>
      <c r="AA285" s="172"/>
      <c r="AB285" s="172"/>
      <c r="AC285" s="172"/>
      <c r="AD285" s="172"/>
      <c r="AE285" s="172"/>
      <c r="AF285" s="172"/>
      <c r="AG285" s="172"/>
      <c r="AH285" s="172"/>
      <c r="AI285" s="172"/>
      <c r="AJ285" s="172"/>
      <c r="AK285" s="172"/>
      <c r="AL285" s="172"/>
    </row>
    <row r="286" spans="3:38" ht="14.25" customHeight="1" x14ac:dyDescent="0.3">
      <c r="C286" s="153"/>
      <c r="D286" s="14"/>
      <c r="E286" s="14">
        <f>(E281/E284)*100</f>
        <v>98.143333333333345</v>
      </c>
      <c r="F286" s="155" t="s">
        <v>160</v>
      </c>
      <c r="G286" s="4"/>
      <c r="H286" s="5"/>
      <c r="I286" s="5"/>
      <c r="J286" s="5"/>
      <c r="K286" s="5"/>
      <c r="L286" s="5"/>
      <c r="M286" s="5"/>
      <c r="N286" s="6"/>
      <c r="O286" s="303" t="s">
        <v>248</v>
      </c>
      <c r="P286" s="293"/>
      <c r="Q286" s="301"/>
      <c r="W286" s="172">
        <v>14</v>
      </c>
      <c r="X286" s="172"/>
      <c r="Y286" s="172"/>
      <c r="Z286" s="172"/>
      <c r="AA286" s="172"/>
      <c r="AB286" s="172"/>
      <c r="AC286" s="172"/>
      <c r="AD286" s="172"/>
      <c r="AE286" s="172"/>
      <c r="AF286" s="172"/>
      <c r="AG286" s="172"/>
      <c r="AH286" s="172"/>
      <c r="AI286" s="172"/>
      <c r="AJ286" s="172"/>
      <c r="AK286" s="172"/>
      <c r="AL286" s="172"/>
    </row>
    <row r="287" spans="3:38" ht="14.25" customHeight="1" x14ac:dyDescent="0.3">
      <c r="C287" s="150" t="s">
        <v>163</v>
      </c>
      <c r="D287" s="151"/>
      <c r="E287" s="151"/>
      <c r="F287" s="159"/>
      <c r="G287" s="4"/>
      <c r="H287" s="5"/>
      <c r="I287" s="5"/>
      <c r="J287" s="5"/>
      <c r="K287" s="5"/>
      <c r="L287" s="5"/>
      <c r="M287" s="5"/>
      <c r="N287" s="6"/>
      <c r="O287" s="5"/>
      <c r="P287" s="5"/>
      <c r="Q287" s="6"/>
      <c r="W287" s="172">
        <v>15</v>
      </c>
      <c r="X287" s="172"/>
      <c r="Y287" s="172"/>
      <c r="Z287" s="172"/>
      <c r="AA287" s="172"/>
      <c r="AB287" s="172"/>
      <c r="AC287" s="172"/>
      <c r="AD287" s="172"/>
      <c r="AE287" s="172"/>
      <c r="AF287" s="172"/>
      <c r="AG287" s="172"/>
      <c r="AH287" s="172"/>
      <c r="AI287" s="172"/>
      <c r="AJ287" s="172"/>
      <c r="AK287" s="172"/>
      <c r="AL287" s="172"/>
    </row>
    <row r="288" spans="3:38" ht="14.25" customHeight="1" x14ac:dyDescent="0.3">
      <c r="C288" s="150"/>
      <c r="D288" s="151"/>
      <c r="E288" s="160">
        <v>67000</v>
      </c>
      <c r="F288" s="152" t="s">
        <v>157</v>
      </c>
      <c r="G288" s="292"/>
      <c r="H288" s="294"/>
      <c r="I288" s="5"/>
      <c r="J288" s="5"/>
      <c r="K288" s="5"/>
      <c r="L288" s="5"/>
      <c r="M288" s="5"/>
      <c r="N288" s="6"/>
      <c r="O288" s="303" t="s">
        <v>249</v>
      </c>
      <c r="P288" s="293"/>
      <c r="Q288" s="301"/>
      <c r="W288" s="172">
        <v>16</v>
      </c>
      <c r="X288" s="172"/>
      <c r="Y288" s="172"/>
      <c r="Z288" s="172"/>
      <c r="AA288" s="172"/>
      <c r="AB288" s="172"/>
      <c r="AC288" s="172"/>
      <c r="AD288" s="172"/>
      <c r="AE288" s="172"/>
      <c r="AF288" s="172"/>
      <c r="AG288" s="172"/>
      <c r="AH288" s="172"/>
      <c r="AI288" s="172"/>
      <c r="AJ288" s="172"/>
      <c r="AK288" s="172"/>
      <c r="AL288" s="172"/>
    </row>
    <row r="289" spans="3:38" ht="14.25" customHeight="1" x14ac:dyDescent="0.3">
      <c r="C289" s="146" t="s">
        <v>164</v>
      </c>
      <c r="D289" s="147"/>
      <c r="E289" s="147"/>
      <c r="F289" s="161"/>
      <c r="G289" s="4"/>
      <c r="H289" s="5"/>
      <c r="I289" s="5"/>
      <c r="J289" s="5"/>
      <c r="K289" s="5"/>
      <c r="L289" s="5"/>
      <c r="M289" s="5"/>
      <c r="N289" s="6"/>
      <c r="O289" s="5"/>
      <c r="P289" s="5"/>
      <c r="Q289" s="6"/>
      <c r="W289" s="172">
        <v>17</v>
      </c>
      <c r="X289" s="172"/>
      <c r="Y289" s="172"/>
      <c r="Z289" s="172"/>
      <c r="AA289" s="172"/>
      <c r="AB289" s="172"/>
      <c r="AC289" s="172"/>
      <c r="AD289" s="172"/>
      <c r="AE289" s="172"/>
      <c r="AF289" s="172"/>
      <c r="AG289" s="172"/>
      <c r="AH289" s="172"/>
      <c r="AI289" s="172"/>
      <c r="AJ289" s="172"/>
      <c r="AK289" s="172"/>
      <c r="AL289" s="172"/>
    </row>
    <row r="290" spans="3:38" ht="14.25" customHeight="1" x14ac:dyDescent="0.3">
      <c r="C290" s="146"/>
      <c r="D290" s="147"/>
      <c r="E290" s="147">
        <v>14791</v>
      </c>
      <c r="F290" s="149" t="s">
        <v>157</v>
      </c>
      <c r="G290" s="4"/>
      <c r="H290" s="5"/>
      <c r="I290" s="5"/>
      <c r="J290" s="5"/>
      <c r="K290" s="5"/>
      <c r="L290" s="5"/>
      <c r="M290" s="5"/>
      <c r="N290" s="6"/>
      <c r="O290" s="303" t="s">
        <v>251</v>
      </c>
      <c r="P290" s="293"/>
      <c r="Q290" s="301"/>
      <c r="W290" s="172">
        <v>18</v>
      </c>
      <c r="X290" s="172"/>
      <c r="Y290" s="172"/>
      <c r="Z290" s="172"/>
      <c r="AA290" s="172"/>
      <c r="AB290" s="172"/>
      <c r="AC290" s="172"/>
      <c r="AD290" s="172"/>
      <c r="AE290" s="172"/>
      <c r="AF290" s="172"/>
      <c r="AG290" s="172"/>
      <c r="AH290" s="172"/>
      <c r="AI290" s="172"/>
      <c r="AJ290" s="172"/>
      <c r="AK290" s="172"/>
      <c r="AL290" s="172"/>
    </row>
    <row r="291" spans="3:38" ht="14.25" customHeight="1" x14ac:dyDescent="0.3">
      <c r="C291" s="150" t="s">
        <v>165</v>
      </c>
      <c r="D291" s="151"/>
      <c r="E291" s="151"/>
      <c r="F291" s="159"/>
      <c r="G291" s="4"/>
      <c r="H291" s="5"/>
      <c r="I291" s="5"/>
      <c r="J291" s="5"/>
      <c r="K291" s="5"/>
      <c r="L291" s="5"/>
      <c r="M291" s="5"/>
      <c r="N291" s="6"/>
      <c r="O291" s="5"/>
      <c r="P291" s="5"/>
      <c r="Q291" s="6"/>
      <c r="W291" s="172">
        <v>19</v>
      </c>
      <c r="X291" s="172"/>
      <c r="Y291" s="172"/>
      <c r="Z291" s="172"/>
      <c r="AA291" s="172"/>
      <c r="AB291" s="172"/>
      <c r="AC291" s="172"/>
      <c r="AD291" s="172"/>
      <c r="AE291" s="172"/>
      <c r="AF291" s="172"/>
      <c r="AG291" s="172"/>
      <c r="AH291" s="172"/>
      <c r="AI291" s="172"/>
      <c r="AJ291" s="172"/>
      <c r="AK291" s="172"/>
      <c r="AL291" s="172"/>
    </row>
    <row r="292" spans="3:38" ht="14.25" customHeight="1" x14ac:dyDescent="0.3">
      <c r="C292" s="150"/>
      <c r="D292" s="151"/>
      <c r="E292" s="162">
        <v>12967</v>
      </c>
      <c r="F292" s="159" t="s">
        <v>157</v>
      </c>
      <c r="G292" s="4"/>
      <c r="H292" s="5"/>
      <c r="I292" s="5"/>
      <c r="J292" s="5"/>
      <c r="K292" s="5"/>
      <c r="L292" s="5"/>
      <c r="M292" s="5"/>
      <c r="N292" s="6"/>
      <c r="O292" s="5"/>
      <c r="P292" s="5"/>
      <c r="Q292" s="6"/>
      <c r="W292" s="172">
        <v>20</v>
      </c>
      <c r="X292" s="172"/>
      <c r="Y292" s="172"/>
      <c r="Z292" s="172"/>
      <c r="AA292" s="172"/>
      <c r="AB292" s="172"/>
      <c r="AC292" s="172"/>
      <c r="AD292" s="172"/>
      <c r="AE292" s="172"/>
      <c r="AF292" s="172"/>
      <c r="AG292" s="172"/>
      <c r="AH292" s="172"/>
      <c r="AI292" s="172"/>
      <c r="AJ292" s="172"/>
      <c r="AK292" s="172"/>
      <c r="AL292" s="172"/>
    </row>
    <row r="293" spans="3:38" ht="14.25" customHeight="1" x14ac:dyDescent="0.3">
      <c r="C293" s="153" t="s">
        <v>166</v>
      </c>
      <c r="D293" s="14"/>
      <c r="E293" s="14"/>
      <c r="F293" s="155"/>
      <c r="G293" s="4"/>
      <c r="H293" s="5"/>
      <c r="I293" s="5"/>
      <c r="J293" s="5"/>
      <c r="K293" s="5"/>
      <c r="L293" s="5"/>
      <c r="M293" s="5"/>
      <c r="N293" s="6"/>
      <c r="O293" s="5"/>
      <c r="P293" s="5"/>
      <c r="Q293" s="6"/>
      <c r="W293" s="172">
        <v>21</v>
      </c>
      <c r="X293" s="172"/>
      <c r="Y293" s="172"/>
      <c r="Z293" s="172"/>
      <c r="AA293" s="172"/>
      <c r="AB293" s="172"/>
      <c r="AC293" s="172"/>
      <c r="AD293" s="172"/>
      <c r="AE293" s="172"/>
      <c r="AF293" s="172"/>
      <c r="AG293" s="172"/>
      <c r="AH293" s="172"/>
      <c r="AI293" s="172"/>
      <c r="AJ293" s="172"/>
      <c r="AK293" s="172"/>
      <c r="AL293" s="172"/>
    </row>
    <row r="294" spans="3:38" ht="14.25" customHeight="1" x14ac:dyDescent="0.3">
      <c r="C294" s="153"/>
      <c r="D294" s="14"/>
      <c r="E294" s="14">
        <f>E290/E288%</f>
        <v>22.076119402985075</v>
      </c>
      <c r="F294" s="155" t="s">
        <v>160</v>
      </c>
      <c r="G294" s="4"/>
      <c r="H294" s="5"/>
      <c r="I294" s="5"/>
      <c r="J294" s="5"/>
      <c r="K294" s="5"/>
      <c r="L294" s="5"/>
      <c r="M294" s="5"/>
      <c r="N294" s="6"/>
      <c r="O294" s="5"/>
      <c r="P294" s="81" t="s">
        <v>78</v>
      </c>
      <c r="Q294" s="6"/>
      <c r="W294" s="172">
        <v>22</v>
      </c>
      <c r="X294" s="172"/>
      <c r="Y294" s="172"/>
      <c r="Z294" s="172"/>
      <c r="AA294" s="172"/>
      <c r="AB294" s="172"/>
      <c r="AC294" s="172"/>
      <c r="AD294" s="172"/>
      <c r="AE294" s="172"/>
      <c r="AF294" s="172"/>
      <c r="AG294" s="172"/>
      <c r="AH294" s="172"/>
      <c r="AI294" s="172"/>
      <c r="AJ294" s="172"/>
      <c r="AK294" s="172"/>
      <c r="AL294" s="172"/>
    </row>
    <row r="295" spans="3:38" ht="14.25" customHeight="1" x14ac:dyDescent="0.3">
      <c r="C295" s="163" t="s">
        <v>167</v>
      </c>
      <c r="D295" s="164"/>
      <c r="E295" s="164"/>
      <c r="F295" s="165"/>
      <c r="G295" s="4"/>
      <c r="H295" s="5"/>
      <c r="I295" s="5"/>
      <c r="J295" s="5"/>
      <c r="K295" s="5"/>
      <c r="L295" s="5"/>
      <c r="M295" s="5"/>
      <c r="N295" s="6"/>
      <c r="O295" s="5"/>
      <c r="P295" s="5"/>
      <c r="Q295" s="6"/>
      <c r="W295" s="172">
        <v>23</v>
      </c>
      <c r="X295" s="172"/>
      <c r="Y295" s="172"/>
      <c r="Z295" s="172"/>
      <c r="AA295" s="172"/>
      <c r="AB295" s="172"/>
      <c r="AC295" s="172"/>
      <c r="AD295" s="172"/>
      <c r="AE295" s="172"/>
      <c r="AF295" s="172"/>
      <c r="AG295" s="172"/>
      <c r="AH295" s="172"/>
      <c r="AI295" s="172"/>
      <c r="AJ295" s="172"/>
      <c r="AK295" s="172"/>
      <c r="AL295" s="172"/>
    </row>
    <row r="296" spans="3:38" ht="14.25" customHeight="1" x14ac:dyDescent="0.3">
      <c r="C296" s="166"/>
      <c r="D296" s="167"/>
      <c r="E296" s="167">
        <f>E290/E292%</f>
        <v>114.06647644019435</v>
      </c>
      <c r="F296" s="168" t="s">
        <v>160</v>
      </c>
      <c r="G296" s="7"/>
      <c r="H296" s="8"/>
      <c r="I296" s="8"/>
      <c r="J296" s="8"/>
      <c r="K296" s="8"/>
      <c r="L296" s="8"/>
      <c r="M296" s="8"/>
      <c r="N296" s="9"/>
      <c r="O296" s="8"/>
      <c r="P296" s="8"/>
      <c r="Q296" s="9"/>
      <c r="W296" s="172">
        <v>24</v>
      </c>
      <c r="X296" s="172"/>
      <c r="Y296" s="172"/>
      <c r="Z296" s="172"/>
      <c r="AA296" s="172"/>
      <c r="AB296" s="172"/>
      <c r="AC296" s="172"/>
      <c r="AD296" s="172"/>
      <c r="AE296" s="172"/>
      <c r="AF296" s="172"/>
      <c r="AG296" s="172"/>
      <c r="AH296" s="172"/>
      <c r="AI296" s="172"/>
      <c r="AJ296" s="172"/>
      <c r="AK296" s="172"/>
      <c r="AL296" s="172"/>
    </row>
    <row r="297" spans="3:38" ht="14.25" customHeight="1" x14ac:dyDescent="0.3">
      <c r="W297" s="172">
        <v>25</v>
      </c>
      <c r="X297" s="172"/>
      <c r="Y297" s="172"/>
      <c r="Z297" s="172"/>
      <c r="AA297" s="172"/>
      <c r="AB297" s="172"/>
      <c r="AC297" s="172"/>
      <c r="AD297" s="172"/>
      <c r="AE297" s="172"/>
      <c r="AF297" s="172"/>
      <c r="AG297" s="172"/>
      <c r="AH297" s="172"/>
      <c r="AI297" s="172"/>
      <c r="AJ297" s="172"/>
      <c r="AK297" s="172"/>
      <c r="AL297" s="172"/>
    </row>
    <row r="298" spans="3:38" ht="14.25" customHeight="1" x14ac:dyDescent="0.3">
      <c r="W298" s="172">
        <v>26</v>
      </c>
      <c r="X298" s="172"/>
      <c r="Y298" s="172"/>
      <c r="Z298" s="172"/>
      <c r="AA298" s="172"/>
      <c r="AB298" s="172"/>
      <c r="AC298" s="172"/>
      <c r="AD298" s="172"/>
      <c r="AE298" s="172"/>
      <c r="AF298" s="172"/>
      <c r="AG298" s="172"/>
      <c r="AH298" s="172"/>
      <c r="AI298" s="172"/>
      <c r="AJ298" s="172"/>
      <c r="AK298" s="172"/>
      <c r="AL298" s="172"/>
    </row>
    <row r="299" spans="3:38" ht="14.25" customHeight="1" x14ac:dyDescent="0.3">
      <c r="W299" s="172">
        <v>27</v>
      </c>
      <c r="X299" s="172"/>
      <c r="Y299" s="172"/>
      <c r="Z299" s="172"/>
      <c r="AA299" s="172"/>
      <c r="AB299" s="172"/>
      <c r="AC299" s="172"/>
      <c r="AD299" s="172"/>
      <c r="AE299" s="172"/>
      <c r="AF299" s="172"/>
      <c r="AG299" s="172"/>
      <c r="AH299" s="172"/>
      <c r="AI299" s="172"/>
      <c r="AJ299" s="172"/>
      <c r="AK299" s="172"/>
      <c r="AL299" s="172"/>
    </row>
    <row r="300" spans="3:38" ht="14.25" customHeight="1" x14ac:dyDescent="0.3"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W300" s="172">
        <v>28</v>
      </c>
      <c r="X300" s="172"/>
      <c r="Y300" s="172"/>
      <c r="Z300" s="172"/>
      <c r="AA300" s="172"/>
      <c r="AB300" s="172"/>
      <c r="AC300" s="172"/>
      <c r="AD300" s="172"/>
      <c r="AE300" s="172"/>
      <c r="AF300" s="172"/>
      <c r="AG300" s="172"/>
      <c r="AH300" s="172"/>
      <c r="AI300" s="172"/>
      <c r="AJ300" s="172"/>
      <c r="AK300" s="172"/>
      <c r="AL300" s="172"/>
    </row>
    <row r="301" spans="3:38" ht="14.25" customHeight="1" x14ac:dyDescent="0.35">
      <c r="C301" s="300" t="s">
        <v>0</v>
      </c>
      <c r="D301" s="293"/>
      <c r="E301" s="293"/>
      <c r="F301" s="293"/>
      <c r="G301" s="293"/>
      <c r="H301" s="293"/>
      <c r="I301" s="293"/>
      <c r="J301" s="293"/>
      <c r="K301" s="293"/>
      <c r="L301" s="293"/>
      <c r="M301" s="293"/>
      <c r="N301" s="293"/>
      <c r="O301" s="293"/>
      <c r="P301" s="293"/>
      <c r="Q301" s="301"/>
      <c r="W301" s="172">
        <v>29</v>
      </c>
      <c r="X301" s="172"/>
      <c r="Y301" s="172"/>
      <c r="Z301" s="172"/>
      <c r="AA301" s="172"/>
      <c r="AB301" s="172"/>
      <c r="AC301" s="172"/>
      <c r="AD301" s="172"/>
      <c r="AE301" s="172"/>
      <c r="AF301" s="172"/>
      <c r="AG301" s="172"/>
      <c r="AH301" s="172"/>
      <c r="AI301" s="172"/>
      <c r="AJ301" s="172"/>
      <c r="AK301" s="172"/>
      <c r="AL301" s="172"/>
    </row>
    <row r="302" spans="3:38" ht="14.25" customHeight="1" x14ac:dyDescent="0.3">
      <c r="C302" s="305" t="s">
        <v>5</v>
      </c>
      <c r="D302" s="293"/>
      <c r="E302" s="293"/>
      <c r="F302" s="293"/>
      <c r="G302" s="293"/>
      <c r="H302" s="293"/>
      <c r="I302" s="293"/>
      <c r="J302" s="293"/>
      <c r="K302" s="293"/>
      <c r="L302" s="293"/>
      <c r="M302" s="293"/>
      <c r="N302" s="293"/>
      <c r="O302" s="293"/>
      <c r="P302" s="293"/>
      <c r="Q302" s="301"/>
      <c r="W302" s="172">
        <v>30</v>
      </c>
      <c r="X302" s="172"/>
      <c r="Y302" s="172"/>
      <c r="Z302" s="172"/>
      <c r="AA302" s="172"/>
      <c r="AB302" s="172"/>
      <c r="AC302" s="172"/>
      <c r="AD302" s="172"/>
      <c r="AE302" s="172"/>
      <c r="AF302" s="172"/>
      <c r="AG302" s="172"/>
      <c r="AH302" s="172"/>
      <c r="AI302" s="172"/>
      <c r="AJ302" s="172"/>
      <c r="AK302" s="172"/>
      <c r="AL302" s="172"/>
    </row>
    <row r="303" spans="3:38" ht="14.25" customHeight="1" x14ac:dyDescent="0.45">
      <c r="C303" s="306" t="s">
        <v>322</v>
      </c>
      <c r="D303" s="293"/>
      <c r="E303" s="293"/>
      <c r="F303" s="293"/>
      <c r="G303" s="293"/>
      <c r="H303" s="293"/>
      <c r="I303" s="293"/>
      <c r="J303" s="293"/>
      <c r="K303" s="293"/>
      <c r="L303" s="293"/>
      <c r="M303" s="293"/>
      <c r="N303" s="293"/>
      <c r="O303" s="293"/>
      <c r="P303" s="293"/>
      <c r="Q303" s="301"/>
      <c r="W303" s="172">
        <v>31</v>
      </c>
      <c r="X303" s="172"/>
      <c r="Y303" s="172"/>
      <c r="Z303" s="172"/>
      <c r="AA303" s="172"/>
      <c r="AB303" s="172"/>
      <c r="AC303" s="172"/>
      <c r="AD303" s="172"/>
      <c r="AE303" s="172"/>
      <c r="AF303" s="172"/>
      <c r="AG303" s="172"/>
      <c r="AH303" s="172"/>
      <c r="AI303" s="172"/>
      <c r="AJ303" s="172"/>
      <c r="AK303" s="172"/>
      <c r="AL303" s="172"/>
    </row>
    <row r="304" spans="3:38" ht="14.25" customHeight="1" x14ac:dyDescent="0.3">
      <c r="C304" s="225" t="s">
        <v>323</v>
      </c>
      <c r="D304" s="226" t="s">
        <v>324</v>
      </c>
      <c r="E304" s="227" t="s">
        <v>325</v>
      </c>
      <c r="F304" s="228" t="s">
        <v>326</v>
      </c>
      <c r="G304" s="98" t="s">
        <v>317</v>
      </c>
      <c r="H304" s="5"/>
      <c r="I304" s="5"/>
      <c r="J304" s="5" t="s">
        <v>263</v>
      </c>
      <c r="K304" s="5"/>
      <c r="L304" s="5" t="s">
        <v>264</v>
      </c>
      <c r="M304" s="5"/>
      <c r="N304" s="5"/>
      <c r="O304" s="11"/>
      <c r="P304" s="5"/>
      <c r="Q304" s="6"/>
    </row>
    <row r="305" spans="3:31" ht="14.25" customHeight="1" x14ac:dyDescent="0.3">
      <c r="C305" s="229" t="s">
        <v>42</v>
      </c>
      <c r="D305" s="230" t="s">
        <v>43</v>
      </c>
      <c r="E305" s="231" t="s">
        <v>12</v>
      </c>
      <c r="F305" s="232" t="s">
        <v>44</v>
      </c>
      <c r="G305" s="308" t="s">
        <v>317</v>
      </c>
      <c r="H305" s="315"/>
      <c r="I305" s="315"/>
      <c r="J305" s="315"/>
      <c r="K305" s="315"/>
      <c r="L305" s="315"/>
      <c r="M305" s="315"/>
      <c r="N305" s="309"/>
      <c r="O305" s="5"/>
      <c r="P305" s="5"/>
      <c r="Q305" s="6"/>
    </row>
    <row r="306" spans="3:31" ht="14.25" customHeight="1" x14ac:dyDescent="0.3">
      <c r="C306" s="150" t="s">
        <v>262</v>
      </c>
      <c r="D306" s="151"/>
      <c r="E306" s="151" t="s">
        <v>327</v>
      </c>
      <c r="F306" s="233" t="s">
        <v>328</v>
      </c>
      <c r="G306" s="5"/>
      <c r="H306" s="5"/>
      <c r="I306" s="5"/>
      <c r="J306" s="5"/>
      <c r="K306" s="207"/>
      <c r="L306" s="5"/>
      <c r="M306" s="5"/>
      <c r="N306" s="6"/>
      <c r="O306" s="302" t="s">
        <v>246</v>
      </c>
      <c r="P306" s="293"/>
      <c r="Q306" s="301"/>
    </row>
    <row r="307" spans="3:31" ht="14.25" customHeight="1" x14ac:dyDescent="0.3">
      <c r="C307" s="153"/>
      <c r="D307" s="14"/>
      <c r="E307" s="14" t="s">
        <v>329</v>
      </c>
      <c r="F307" s="234" t="s">
        <v>330</v>
      </c>
      <c r="G307" s="5"/>
      <c r="H307" s="5"/>
      <c r="I307" s="5"/>
      <c r="J307" s="5"/>
      <c r="K307" s="5"/>
      <c r="L307" s="5"/>
      <c r="M307" s="5"/>
      <c r="N307" s="6"/>
      <c r="O307" s="302" t="s">
        <v>176</v>
      </c>
      <c r="P307" s="293"/>
      <c r="Q307" s="301"/>
    </row>
    <row r="308" spans="3:31" ht="14.25" customHeight="1" x14ac:dyDescent="0.3">
      <c r="C308" s="156"/>
      <c r="D308" s="157"/>
      <c r="E308" s="157" t="s">
        <v>317</v>
      </c>
      <c r="F308" s="235">
        <v>1.1406000000000001</v>
      </c>
      <c r="G308" s="70"/>
      <c r="H308" s="70"/>
      <c r="I308" s="5"/>
      <c r="J308" s="5"/>
      <c r="K308" s="5"/>
      <c r="L308" s="5"/>
      <c r="M308" s="5"/>
      <c r="N308" s="6"/>
      <c r="O308" s="5"/>
      <c r="P308" s="5"/>
      <c r="Q308" s="6"/>
    </row>
    <row r="309" spans="3:31" ht="14.25" customHeight="1" x14ac:dyDescent="0.3">
      <c r="C309" s="236"/>
      <c r="D309" s="67"/>
      <c r="E309" s="67"/>
      <c r="F309" s="135"/>
      <c r="G309" s="70"/>
      <c r="H309" s="70"/>
      <c r="I309" s="5"/>
      <c r="J309" s="5"/>
      <c r="K309" s="5"/>
      <c r="L309" s="5"/>
      <c r="M309" s="5"/>
      <c r="N309" s="6"/>
      <c r="O309" s="303" t="s">
        <v>15</v>
      </c>
      <c r="P309" s="293"/>
      <c r="Q309" s="301"/>
      <c r="V309" s="179" t="s">
        <v>76</v>
      </c>
      <c r="W309" s="407" t="s">
        <v>320</v>
      </c>
      <c r="X309" s="408"/>
      <c r="Y309" s="408"/>
      <c r="Z309" s="408"/>
      <c r="AA309" s="408"/>
      <c r="AB309" s="408"/>
      <c r="AC309" s="408"/>
      <c r="AD309" s="408"/>
      <c r="AE309" s="409"/>
    </row>
    <row r="310" spans="3:31" ht="14.25" customHeight="1" x14ac:dyDescent="0.3">
      <c r="C310" s="150" t="s">
        <v>27</v>
      </c>
      <c r="D310" s="151"/>
      <c r="E310" s="151" t="s">
        <v>327</v>
      </c>
      <c r="F310" s="237" t="s">
        <v>331</v>
      </c>
      <c r="G310" s="70"/>
      <c r="H310" s="70"/>
      <c r="I310" s="5"/>
      <c r="J310" s="5"/>
      <c r="K310" s="5"/>
      <c r="L310" s="5"/>
      <c r="M310" s="5"/>
      <c r="N310" s="6"/>
      <c r="O310" s="5"/>
      <c r="P310" s="5"/>
      <c r="Q310" s="6"/>
      <c r="V310" s="238"/>
      <c r="W310" s="239" t="s">
        <v>332</v>
      </c>
      <c r="X310" s="239" t="s">
        <v>333</v>
      </c>
      <c r="Y310" s="239" t="s">
        <v>160</v>
      </c>
      <c r="Z310" s="239" t="s">
        <v>137</v>
      </c>
      <c r="AA310" s="239" t="s">
        <v>333</v>
      </c>
      <c r="AB310" s="239" t="s">
        <v>160</v>
      </c>
      <c r="AC310" s="410" t="s">
        <v>334</v>
      </c>
      <c r="AD310" s="411"/>
      <c r="AE310" s="240" t="s">
        <v>335</v>
      </c>
    </row>
    <row r="311" spans="3:31" ht="14.25" customHeight="1" x14ac:dyDescent="0.3">
      <c r="C311" s="153"/>
      <c r="D311" s="14"/>
      <c r="E311" s="14" t="s">
        <v>329</v>
      </c>
      <c r="F311" s="155" t="s">
        <v>336</v>
      </c>
      <c r="G311" s="5"/>
      <c r="H311" s="5"/>
      <c r="I311" s="5"/>
      <c r="J311" s="5"/>
      <c r="K311" s="207"/>
      <c r="L311" s="5"/>
      <c r="M311" s="5"/>
      <c r="N311" s="6"/>
      <c r="O311" s="303" t="s">
        <v>262</v>
      </c>
      <c r="P311" s="293"/>
      <c r="Q311" s="301"/>
      <c r="V311" s="241" t="s">
        <v>337</v>
      </c>
      <c r="W311" s="172"/>
      <c r="X311" s="172"/>
      <c r="Y311" s="172"/>
      <c r="Z311" s="172"/>
      <c r="AA311" s="172"/>
      <c r="AB311" s="172"/>
      <c r="AC311" s="172"/>
      <c r="AD311" s="242"/>
      <c r="AE311" s="196"/>
    </row>
    <row r="312" spans="3:31" ht="14.25" customHeight="1" x14ac:dyDescent="0.3">
      <c r="C312" s="156"/>
      <c r="D312" s="157"/>
      <c r="E312" s="157" t="s">
        <v>317</v>
      </c>
      <c r="F312" s="158">
        <v>23.4</v>
      </c>
      <c r="G312" s="5"/>
      <c r="H312" s="5"/>
      <c r="I312" s="5"/>
      <c r="J312" s="5"/>
      <c r="K312" s="5"/>
      <c r="L312" s="5"/>
      <c r="M312" s="5"/>
      <c r="N312" s="6"/>
      <c r="O312" s="5"/>
      <c r="P312" s="5"/>
      <c r="Q312" s="6"/>
      <c r="V312" s="241" t="s">
        <v>324</v>
      </c>
      <c r="W312" s="172"/>
      <c r="X312" s="172"/>
      <c r="Y312" s="172"/>
      <c r="Z312" s="172"/>
      <c r="AA312" s="172"/>
      <c r="AB312" s="172"/>
      <c r="AC312" s="172"/>
      <c r="AD312" s="242"/>
      <c r="AE312" s="196"/>
    </row>
    <row r="313" spans="3:31" ht="14.25" customHeight="1" x14ac:dyDescent="0.3">
      <c r="C313" s="4"/>
      <c r="D313" s="67"/>
      <c r="E313" s="5"/>
      <c r="F313" s="208"/>
      <c r="G313" s="5"/>
      <c r="H313" s="5"/>
      <c r="I313" s="5"/>
      <c r="J313" s="5"/>
      <c r="K313" s="5"/>
      <c r="L313" s="5"/>
      <c r="M313" s="5"/>
      <c r="N313" s="6"/>
      <c r="O313" s="303" t="s">
        <v>38</v>
      </c>
      <c r="P313" s="293"/>
      <c r="Q313" s="301"/>
      <c r="V313" s="241" t="s">
        <v>325</v>
      </c>
      <c r="W313" s="172"/>
      <c r="X313" s="172"/>
      <c r="Y313" s="172"/>
      <c r="Z313" s="172"/>
      <c r="AA313" s="172"/>
      <c r="AB313" s="172"/>
      <c r="AC313" s="172"/>
      <c r="AD313" s="242"/>
      <c r="AE313" s="196"/>
    </row>
    <row r="314" spans="3:31" ht="14.25" customHeight="1" x14ac:dyDescent="0.3">
      <c r="C314" s="150" t="s">
        <v>338</v>
      </c>
      <c r="D314" s="151"/>
      <c r="E314" s="151" t="s">
        <v>327</v>
      </c>
      <c r="F314" s="159" t="s">
        <v>339</v>
      </c>
      <c r="G314" s="5"/>
      <c r="H314" s="5"/>
      <c r="I314" s="5"/>
      <c r="J314" s="5"/>
      <c r="K314" s="5"/>
      <c r="L314" s="5"/>
      <c r="M314" s="5"/>
      <c r="N314" s="6"/>
      <c r="O314" s="5"/>
      <c r="P314" s="5"/>
      <c r="Q314" s="6"/>
      <c r="V314" s="241" t="s">
        <v>326</v>
      </c>
      <c r="W314" s="172"/>
      <c r="X314" s="172"/>
      <c r="Y314" s="172"/>
      <c r="Z314" s="172"/>
      <c r="AA314" s="172"/>
      <c r="AB314" s="172"/>
      <c r="AC314" s="172"/>
      <c r="AD314" s="242"/>
      <c r="AE314" s="196"/>
    </row>
    <row r="315" spans="3:31" ht="14.25" customHeight="1" x14ac:dyDescent="0.3">
      <c r="C315" s="153"/>
      <c r="D315" s="14"/>
      <c r="E315" s="14" t="s">
        <v>329</v>
      </c>
      <c r="F315" s="155" t="s">
        <v>340</v>
      </c>
      <c r="G315" s="5"/>
      <c r="H315" s="5"/>
      <c r="I315" s="5"/>
      <c r="J315" s="5"/>
      <c r="K315" s="5"/>
      <c r="L315" s="5"/>
      <c r="M315" s="5"/>
      <c r="N315" s="6"/>
      <c r="O315" s="303" t="s">
        <v>62</v>
      </c>
      <c r="P315" s="293"/>
      <c r="Q315" s="301"/>
      <c r="V315" s="243" t="s">
        <v>341</v>
      </c>
      <c r="W315" s="244"/>
      <c r="X315" s="244"/>
      <c r="Y315" s="244"/>
      <c r="Z315" s="244"/>
      <c r="AA315" s="244"/>
      <c r="AB315" s="244"/>
      <c r="AC315" s="244"/>
      <c r="AD315" s="245"/>
      <c r="AE315" s="246"/>
    </row>
    <row r="316" spans="3:31" ht="14.25" customHeight="1" x14ac:dyDescent="0.3">
      <c r="C316" s="156"/>
      <c r="D316" s="157"/>
      <c r="E316" s="157" t="s">
        <v>317</v>
      </c>
      <c r="F316" s="158">
        <v>90</v>
      </c>
      <c r="G316" s="5"/>
      <c r="H316" s="5"/>
      <c r="I316" s="5"/>
      <c r="J316" s="5"/>
      <c r="K316" s="5"/>
      <c r="L316" s="5"/>
      <c r="M316" s="5"/>
      <c r="N316" s="6"/>
      <c r="O316" s="5"/>
      <c r="P316" s="5"/>
      <c r="Q316" s="6"/>
    </row>
    <row r="317" spans="3:31" ht="14.25" customHeight="1" x14ac:dyDescent="0.3">
      <c r="C317" s="236"/>
      <c r="D317" s="67"/>
      <c r="E317" s="67"/>
      <c r="F317" s="208"/>
      <c r="G317" s="5"/>
      <c r="H317" s="5"/>
      <c r="I317" s="5"/>
      <c r="J317" s="5"/>
      <c r="K317" s="5"/>
      <c r="L317" s="5"/>
      <c r="M317" s="5"/>
      <c r="N317" s="6"/>
      <c r="O317" s="303" t="s">
        <v>39</v>
      </c>
      <c r="P317" s="293"/>
      <c r="Q317" s="301"/>
      <c r="V317" s="238"/>
      <c r="W317" s="410" t="s">
        <v>342</v>
      </c>
      <c r="X317" s="412"/>
      <c r="Y317" s="412"/>
      <c r="Z317" s="411"/>
      <c r="AA317" s="77"/>
      <c r="AB317" s="77"/>
      <c r="AC317" s="77"/>
      <c r="AD317" s="77"/>
    </row>
    <row r="318" spans="3:31" ht="14.25" customHeight="1" x14ac:dyDescent="0.3">
      <c r="C318" s="150" t="s">
        <v>32</v>
      </c>
      <c r="D318" s="151"/>
      <c r="E318" s="151" t="s">
        <v>327</v>
      </c>
      <c r="F318" s="159" t="s">
        <v>343</v>
      </c>
      <c r="G318" s="5"/>
      <c r="H318" s="5"/>
      <c r="I318" s="5"/>
      <c r="J318" s="5"/>
      <c r="K318" s="5"/>
      <c r="L318" s="5"/>
      <c r="M318" s="5"/>
      <c r="N318" s="6"/>
      <c r="O318" s="5"/>
      <c r="P318" s="5"/>
      <c r="Q318" s="6"/>
      <c r="V318" s="241"/>
      <c r="W318" s="172" t="s">
        <v>344</v>
      </c>
      <c r="X318" s="172" t="s">
        <v>345</v>
      </c>
      <c r="Y318" s="172" t="s">
        <v>333</v>
      </c>
      <c r="Z318" s="242" t="s">
        <v>160</v>
      </c>
    </row>
    <row r="319" spans="3:31" ht="14.25" customHeight="1" x14ac:dyDescent="0.3">
      <c r="C319" s="153"/>
      <c r="D319" s="14"/>
      <c r="E319" s="14" t="s">
        <v>329</v>
      </c>
      <c r="F319" s="155" t="s">
        <v>346</v>
      </c>
      <c r="G319" s="5"/>
      <c r="H319" s="5"/>
      <c r="I319" s="5"/>
      <c r="J319" s="5"/>
      <c r="K319" s="5"/>
      <c r="L319" s="5"/>
      <c r="M319" s="5"/>
      <c r="N319" s="6"/>
      <c r="O319" s="5"/>
      <c r="P319" s="5"/>
      <c r="Q319" s="6"/>
      <c r="V319" s="241" t="s">
        <v>337</v>
      </c>
      <c r="W319" s="172"/>
      <c r="X319" s="172"/>
      <c r="Y319" s="172"/>
      <c r="Z319" s="242"/>
    </row>
    <row r="320" spans="3:31" ht="14.25" customHeight="1" x14ac:dyDescent="0.3">
      <c r="C320" s="247"/>
      <c r="D320" s="248"/>
      <c r="E320" s="157" t="s">
        <v>317</v>
      </c>
      <c r="F320" s="249">
        <v>3.27</v>
      </c>
      <c r="G320" s="5"/>
      <c r="H320" s="5"/>
      <c r="I320" s="5"/>
      <c r="J320" s="5"/>
      <c r="K320" s="5"/>
      <c r="L320" s="5"/>
      <c r="M320" s="5"/>
      <c r="N320" s="6"/>
      <c r="O320" s="5"/>
      <c r="P320" s="5"/>
      <c r="Q320" s="6"/>
      <c r="V320" s="241" t="s">
        <v>324</v>
      </c>
      <c r="W320" s="172"/>
      <c r="X320" s="172"/>
      <c r="Y320" s="172"/>
      <c r="Z320" s="242"/>
    </row>
    <row r="321" spans="3:27" ht="14.25" customHeight="1" x14ac:dyDescent="0.3">
      <c r="C321" s="4"/>
      <c r="D321" s="5"/>
      <c r="E321" s="5"/>
      <c r="F321" s="6"/>
      <c r="G321" s="5"/>
      <c r="H321" s="5"/>
      <c r="I321" s="5"/>
      <c r="J321" s="5"/>
      <c r="K321" s="5"/>
      <c r="L321" s="5"/>
      <c r="M321" s="5"/>
      <c r="N321" s="6"/>
      <c r="O321" s="5"/>
      <c r="P321" s="5"/>
      <c r="Q321" s="6"/>
      <c r="V321" s="241" t="s">
        <v>325</v>
      </c>
      <c r="W321" s="172"/>
      <c r="X321" s="172"/>
      <c r="Y321" s="172"/>
      <c r="Z321" s="242"/>
    </row>
    <row r="322" spans="3:27" ht="14.25" customHeight="1" x14ac:dyDescent="0.3">
      <c r="C322" s="150" t="s">
        <v>347</v>
      </c>
      <c r="D322" s="151"/>
      <c r="E322" s="151" t="s">
        <v>327</v>
      </c>
      <c r="F322" s="159" t="s">
        <v>348</v>
      </c>
      <c r="G322" s="5"/>
      <c r="H322" s="5"/>
      <c r="I322" s="5"/>
      <c r="J322" s="5"/>
      <c r="K322" s="5"/>
      <c r="L322" s="5"/>
      <c r="M322" s="5"/>
      <c r="N322" s="6"/>
      <c r="O322" s="5"/>
      <c r="P322" s="5"/>
      <c r="Q322" s="6"/>
      <c r="V322" s="241" t="s">
        <v>326</v>
      </c>
      <c r="W322" s="172"/>
      <c r="X322" s="172"/>
      <c r="Y322" s="172"/>
      <c r="Z322" s="242"/>
    </row>
    <row r="323" spans="3:27" ht="14.25" customHeight="1" x14ac:dyDescent="0.3">
      <c r="C323" s="153"/>
      <c r="D323" s="14"/>
      <c r="E323" s="14" t="s">
        <v>329</v>
      </c>
      <c r="F323" s="155" t="s">
        <v>349</v>
      </c>
      <c r="G323" s="5"/>
      <c r="H323" s="5"/>
      <c r="I323" s="5"/>
      <c r="J323" s="5"/>
      <c r="K323" s="5"/>
      <c r="L323" s="5"/>
      <c r="M323" s="5"/>
      <c r="N323" s="6"/>
      <c r="O323" s="5"/>
      <c r="P323" s="81" t="s">
        <v>78</v>
      </c>
      <c r="Q323" s="6"/>
      <c r="V323" s="243" t="s">
        <v>341</v>
      </c>
      <c r="W323" s="244"/>
      <c r="X323" s="244"/>
      <c r="Y323" s="244"/>
      <c r="Z323" s="245"/>
    </row>
    <row r="324" spans="3:27" ht="14.25" customHeight="1" x14ac:dyDescent="0.3">
      <c r="C324" s="247"/>
      <c r="D324" s="248"/>
      <c r="E324" s="157" t="s">
        <v>317</v>
      </c>
      <c r="F324" s="250">
        <v>0.22</v>
      </c>
      <c r="G324" s="5"/>
      <c r="H324" s="5"/>
      <c r="I324" s="5"/>
      <c r="J324" s="5"/>
      <c r="K324" s="5"/>
      <c r="L324" s="5"/>
      <c r="M324" s="5"/>
      <c r="N324" s="6"/>
      <c r="O324" s="5"/>
      <c r="P324" s="5"/>
      <c r="Q324" s="6"/>
    </row>
    <row r="325" spans="3:27" ht="14.25" customHeight="1" x14ac:dyDescent="0.3">
      <c r="C325" s="251"/>
      <c r="D325" s="252"/>
      <c r="E325" s="252"/>
      <c r="F325" s="210"/>
      <c r="G325" s="8"/>
      <c r="H325" s="8"/>
      <c r="I325" s="8"/>
      <c r="J325" s="8"/>
      <c r="K325" s="8"/>
      <c r="L325" s="8"/>
      <c r="M325" s="8"/>
      <c r="N325" s="9"/>
      <c r="O325" s="8"/>
      <c r="P325" s="8"/>
      <c r="Q325" s="9"/>
      <c r="V325" s="238"/>
      <c r="W325" s="410" t="s">
        <v>350</v>
      </c>
      <c r="X325" s="412"/>
      <c r="Y325" s="412"/>
      <c r="Z325" s="412"/>
      <c r="AA325" s="411"/>
    </row>
    <row r="326" spans="3:27" ht="14.25" customHeight="1" x14ac:dyDescent="0.3">
      <c r="V326" s="241"/>
      <c r="W326" s="172" t="s">
        <v>344</v>
      </c>
      <c r="X326" s="172" t="s">
        <v>345</v>
      </c>
      <c r="Y326" s="172" t="s">
        <v>333</v>
      </c>
      <c r="Z326" s="172" t="s">
        <v>160</v>
      </c>
      <c r="AA326" s="253" t="s">
        <v>335</v>
      </c>
    </row>
    <row r="327" spans="3:27" ht="14.25" customHeight="1" x14ac:dyDescent="0.3">
      <c r="V327" s="241" t="s">
        <v>337</v>
      </c>
      <c r="W327" s="172"/>
      <c r="X327" s="172"/>
      <c r="Y327" s="172"/>
      <c r="Z327" s="254"/>
      <c r="AA327" s="255"/>
    </row>
    <row r="328" spans="3:27" ht="14.25" customHeight="1" x14ac:dyDescent="0.3">
      <c r="V328" s="241" t="s">
        <v>324</v>
      </c>
      <c r="W328" s="172"/>
      <c r="X328" s="172"/>
      <c r="Y328" s="172"/>
      <c r="Z328" s="172"/>
      <c r="AA328" s="255"/>
    </row>
    <row r="329" spans="3:27" ht="14.25" customHeight="1" x14ac:dyDescent="0.3">
      <c r="V329" s="241" t="s">
        <v>325</v>
      </c>
      <c r="W329" s="172"/>
      <c r="X329" s="172"/>
      <c r="Y329" s="172"/>
      <c r="Z329" s="172"/>
      <c r="AA329" s="255"/>
    </row>
    <row r="330" spans="3:27" ht="14.25" customHeight="1" x14ac:dyDescent="0.3">
      <c r="V330" s="241" t="s">
        <v>326</v>
      </c>
      <c r="W330" s="172"/>
      <c r="X330" s="172"/>
      <c r="Y330" s="172"/>
      <c r="Z330" s="172"/>
      <c r="AA330" s="255"/>
    </row>
    <row r="331" spans="3:27" ht="14.25" customHeight="1" x14ac:dyDescent="0.3">
      <c r="V331" s="243" t="s">
        <v>341</v>
      </c>
      <c r="W331" s="244"/>
      <c r="X331" s="244"/>
      <c r="Y331" s="244"/>
      <c r="Z331" s="244"/>
      <c r="AA331" s="245"/>
    </row>
    <row r="332" spans="3:27" ht="14.25" customHeight="1" x14ac:dyDescent="0.3"/>
    <row r="333" spans="3:27" ht="14.25" customHeight="1" x14ac:dyDescent="0.3">
      <c r="V333" s="413" t="s">
        <v>351</v>
      </c>
      <c r="W333" s="323"/>
      <c r="X333" s="323"/>
      <c r="Y333" s="323"/>
      <c r="Z333" s="324"/>
    </row>
    <row r="334" spans="3:27" ht="14.25" customHeight="1" x14ac:dyDescent="0.3">
      <c r="V334" s="238"/>
      <c r="W334" s="239" t="s">
        <v>344</v>
      </c>
      <c r="X334" s="239" t="s">
        <v>345</v>
      </c>
      <c r="Y334" s="239" t="s">
        <v>333</v>
      </c>
      <c r="Z334" s="256" t="s">
        <v>160</v>
      </c>
    </row>
    <row r="335" spans="3:27" ht="14.25" customHeight="1" x14ac:dyDescent="0.3">
      <c r="V335" s="241" t="s">
        <v>337</v>
      </c>
      <c r="W335" s="172"/>
      <c r="X335" s="172"/>
      <c r="Y335" s="172"/>
      <c r="Z335" s="242"/>
    </row>
    <row r="336" spans="3:27" ht="14.25" customHeight="1" x14ac:dyDescent="0.3">
      <c r="V336" s="241" t="s">
        <v>324</v>
      </c>
      <c r="W336" s="172"/>
      <c r="X336" s="172"/>
      <c r="Y336" s="172"/>
      <c r="Z336" s="242"/>
    </row>
    <row r="337" spans="22:41" ht="14.25" customHeight="1" x14ac:dyDescent="0.3">
      <c r="V337" s="241" t="s">
        <v>325</v>
      </c>
      <c r="W337" s="172"/>
      <c r="X337" s="172"/>
      <c r="Y337" s="172"/>
      <c r="Z337" s="242"/>
    </row>
    <row r="338" spans="22:41" ht="14.25" customHeight="1" x14ac:dyDescent="0.3">
      <c r="V338" s="241" t="s">
        <v>326</v>
      </c>
      <c r="W338" s="172"/>
      <c r="X338" s="172"/>
      <c r="Y338" s="172"/>
      <c r="Z338" s="242"/>
    </row>
    <row r="339" spans="22:41" ht="14.25" customHeight="1" x14ac:dyDescent="0.3">
      <c r="V339" s="243" t="s">
        <v>341</v>
      </c>
      <c r="W339" s="244"/>
      <c r="X339" s="244"/>
      <c r="Y339" s="244"/>
      <c r="Z339" s="245"/>
    </row>
    <row r="340" spans="22:41" ht="14.25" customHeight="1" x14ac:dyDescent="0.3"/>
    <row r="341" spans="22:41" ht="14.25" customHeight="1" x14ac:dyDescent="0.3">
      <c r="V341" s="414" t="s">
        <v>38</v>
      </c>
      <c r="W341" s="408"/>
      <c r="X341" s="408"/>
      <c r="Y341" s="408"/>
      <c r="Z341" s="408"/>
      <c r="AA341" s="409"/>
      <c r="AB341" s="80" t="s">
        <v>352</v>
      </c>
    </row>
    <row r="342" spans="22:41" ht="14.25" customHeight="1" x14ac:dyDescent="0.3">
      <c r="V342" s="241"/>
      <c r="W342" s="415" t="s">
        <v>125</v>
      </c>
      <c r="X342" s="315"/>
      <c r="Y342" s="315"/>
      <c r="Z342" s="309"/>
      <c r="AA342" s="416" t="s">
        <v>335</v>
      </c>
      <c r="AB342" s="80" t="s">
        <v>353</v>
      </c>
    </row>
    <row r="343" spans="22:41" ht="14.25" customHeight="1" x14ac:dyDescent="0.3">
      <c r="V343" s="241"/>
      <c r="W343" s="172" t="s">
        <v>354</v>
      </c>
      <c r="X343" s="172" t="s">
        <v>355</v>
      </c>
      <c r="Y343" s="172" t="s">
        <v>160</v>
      </c>
      <c r="Z343" s="254" t="s">
        <v>22</v>
      </c>
      <c r="AA343" s="386"/>
    </row>
    <row r="344" spans="22:41" ht="14.25" customHeight="1" x14ac:dyDescent="0.3">
      <c r="V344" s="241" t="s">
        <v>337</v>
      </c>
      <c r="W344" s="172"/>
      <c r="X344" s="172"/>
      <c r="Y344" s="172"/>
      <c r="Z344" s="242"/>
      <c r="AA344" s="257"/>
    </row>
    <row r="345" spans="22:41" ht="14.25" customHeight="1" x14ac:dyDescent="0.3">
      <c r="V345" s="241" t="s">
        <v>324</v>
      </c>
      <c r="W345" s="172"/>
      <c r="X345" s="172"/>
      <c r="Y345" s="172"/>
      <c r="Z345" s="242"/>
      <c r="AA345" s="255"/>
    </row>
    <row r="346" spans="22:41" ht="14.25" customHeight="1" x14ac:dyDescent="0.3">
      <c r="V346" s="241" t="s">
        <v>325</v>
      </c>
      <c r="W346" s="172"/>
      <c r="X346" s="172"/>
      <c r="Y346" s="172"/>
      <c r="Z346" s="242"/>
      <c r="AA346" s="255"/>
    </row>
    <row r="347" spans="22:41" ht="14.25" customHeight="1" x14ac:dyDescent="0.3">
      <c r="V347" s="241" t="s">
        <v>326</v>
      </c>
      <c r="W347" s="172"/>
      <c r="X347" s="172"/>
      <c r="Y347" s="172"/>
      <c r="Z347" s="242"/>
      <c r="AA347" s="255"/>
    </row>
    <row r="348" spans="22:41" ht="14.25" customHeight="1" x14ac:dyDescent="0.3">
      <c r="V348" s="243" t="s">
        <v>341</v>
      </c>
      <c r="W348" s="244"/>
      <c r="X348" s="244"/>
      <c r="Y348" s="244"/>
      <c r="Z348" s="245"/>
      <c r="AA348" s="245"/>
    </row>
    <row r="349" spans="22:41" ht="14.25" customHeight="1" x14ac:dyDescent="0.3"/>
    <row r="350" spans="22:41" ht="14.25" customHeight="1" x14ac:dyDescent="0.3">
      <c r="V350" s="419" t="s">
        <v>356</v>
      </c>
      <c r="W350" s="412"/>
      <c r="X350" s="412"/>
      <c r="Y350" s="412"/>
      <c r="Z350" s="412"/>
      <c r="AA350" s="412"/>
      <c r="AB350" s="412"/>
      <c r="AC350" s="412"/>
      <c r="AD350" s="412"/>
      <c r="AE350" s="412"/>
      <c r="AF350" s="412"/>
      <c r="AG350" s="412"/>
      <c r="AH350" s="412"/>
      <c r="AI350" s="412"/>
      <c r="AJ350" s="411"/>
    </row>
    <row r="351" spans="22:41" ht="14.25" customHeight="1" x14ac:dyDescent="0.3">
      <c r="V351" s="258"/>
      <c r="W351" s="419" t="s">
        <v>136</v>
      </c>
      <c r="X351" s="412"/>
      <c r="Y351" s="412"/>
      <c r="Z351" s="412"/>
      <c r="AA351" s="412"/>
      <c r="AB351" s="412"/>
      <c r="AC351" s="411"/>
      <c r="AD351" s="420" t="s">
        <v>137</v>
      </c>
      <c r="AE351" s="315"/>
      <c r="AF351" s="315"/>
      <c r="AG351" s="315"/>
      <c r="AH351" s="315"/>
      <c r="AI351" s="315"/>
      <c r="AJ351" s="421"/>
      <c r="AK351" s="422" t="s">
        <v>357</v>
      </c>
      <c r="AL351" s="80" t="s">
        <v>358</v>
      </c>
    </row>
    <row r="352" spans="22:41" ht="14.25" customHeight="1" x14ac:dyDescent="0.3">
      <c r="V352" s="259"/>
      <c r="W352" s="241" t="s">
        <v>359</v>
      </c>
      <c r="X352" s="172" t="s">
        <v>360</v>
      </c>
      <c r="Y352" s="172" t="s">
        <v>19</v>
      </c>
      <c r="Z352" s="172" t="s">
        <v>361</v>
      </c>
      <c r="AA352" s="172" t="s">
        <v>160</v>
      </c>
      <c r="AB352" s="172" t="s">
        <v>362</v>
      </c>
      <c r="AC352" s="242" t="s">
        <v>160</v>
      </c>
      <c r="AD352" s="260" t="s">
        <v>359</v>
      </c>
      <c r="AE352" s="172" t="s">
        <v>360</v>
      </c>
      <c r="AF352" s="172" t="s">
        <v>19</v>
      </c>
      <c r="AG352" s="172" t="s">
        <v>361</v>
      </c>
      <c r="AH352" s="172" t="s">
        <v>160</v>
      </c>
      <c r="AI352" s="172" t="s">
        <v>363</v>
      </c>
      <c r="AJ352" s="242" t="s">
        <v>160</v>
      </c>
      <c r="AK352" s="386"/>
      <c r="AL352" s="80" t="s">
        <v>160</v>
      </c>
      <c r="AM352" s="80" t="s">
        <v>364</v>
      </c>
      <c r="AO352" s="80" t="s">
        <v>365</v>
      </c>
    </row>
    <row r="353" spans="22:41" ht="14.25" customHeight="1" x14ac:dyDescent="0.3">
      <c r="V353" s="259" t="s">
        <v>337</v>
      </c>
      <c r="W353" s="241"/>
      <c r="X353" s="172"/>
      <c r="Y353" s="172"/>
      <c r="Z353" s="172"/>
      <c r="AA353" s="172"/>
      <c r="AB353" s="172"/>
      <c r="AC353" s="242"/>
      <c r="AD353" s="260"/>
      <c r="AE353" s="172"/>
      <c r="AF353" s="172"/>
      <c r="AG353" s="172"/>
      <c r="AH353" s="172"/>
      <c r="AI353" s="172"/>
      <c r="AJ353" s="242"/>
      <c r="AK353" s="257"/>
    </row>
    <row r="354" spans="22:41" ht="14.25" customHeight="1" x14ac:dyDescent="0.3">
      <c r="V354" s="259" t="s">
        <v>324</v>
      </c>
      <c r="W354" s="241"/>
      <c r="X354" s="172"/>
      <c r="Y354" s="172"/>
      <c r="Z354" s="172"/>
      <c r="AA354" s="172"/>
      <c r="AB354" s="172"/>
      <c r="AC354" s="242"/>
      <c r="AD354" s="260"/>
      <c r="AE354" s="172"/>
      <c r="AF354" s="172"/>
      <c r="AG354" s="172"/>
      <c r="AH354" s="172"/>
      <c r="AI354" s="172"/>
      <c r="AJ354" s="242"/>
      <c r="AK354" s="255"/>
      <c r="AL354" s="80" t="s">
        <v>366</v>
      </c>
    </row>
    <row r="355" spans="22:41" ht="14.25" customHeight="1" x14ac:dyDescent="0.3">
      <c r="V355" s="259" t="s">
        <v>325</v>
      </c>
      <c r="W355" s="241"/>
      <c r="X355" s="172"/>
      <c r="Y355" s="172"/>
      <c r="Z355" s="172"/>
      <c r="AA355" s="172"/>
      <c r="AB355" s="172"/>
      <c r="AC355" s="242"/>
      <c r="AD355" s="260"/>
      <c r="AE355" s="172"/>
      <c r="AF355" s="172"/>
      <c r="AG355" s="172"/>
      <c r="AH355" s="172"/>
      <c r="AI355" s="172"/>
      <c r="AJ355" s="242"/>
      <c r="AK355" s="255"/>
      <c r="AL355" s="80" t="s">
        <v>160</v>
      </c>
      <c r="AM355" s="80" t="s">
        <v>367</v>
      </c>
      <c r="AO355" s="80" t="s">
        <v>368</v>
      </c>
    </row>
    <row r="356" spans="22:41" ht="14.25" customHeight="1" x14ac:dyDescent="0.3">
      <c r="V356" s="259" t="s">
        <v>326</v>
      </c>
      <c r="W356" s="241"/>
      <c r="X356" s="172"/>
      <c r="Y356" s="172"/>
      <c r="Z356" s="172"/>
      <c r="AA356" s="172"/>
      <c r="AB356" s="172"/>
      <c r="AC356" s="242"/>
      <c r="AD356" s="260"/>
      <c r="AE356" s="172"/>
      <c r="AF356" s="172"/>
      <c r="AG356" s="172"/>
      <c r="AH356" s="172"/>
      <c r="AI356" s="172"/>
      <c r="AJ356" s="242"/>
      <c r="AK356" s="255"/>
    </row>
    <row r="357" spans="22:41" ht="14.25" customHeight="1" x14ac:dyDescent="0.3">
      <c r="V357" s="261" t="s">
        <v>341</v>
      </c>
      <c r="W357" s="243"/>
      <c r="X357" s="244"/>
      <c r="Y357" s="244"/>
      <c r="Z357" s="244"/>
      <c r="AA357" s="244"/>
      <c r="AB357" s="244"/>
      <c r="AC357" s="245"/>
      <c r="AD357" s="262"/>
      <c r="AE357" s="244"/>
      <c r="AF357" s="244"/>
      <c r="AG357" s="244"/>
      <c r="AH357" s="244"/>
      <c r="AI357" s="244"/>
      <c r="AJ357" s="245"/>
      <c r="AK357" s="255"/>
    </row>
    <row r="358" spans="22:41" ht="14.25" customHeight="1" x14ac:dyDescent="0.3"/>
    <row r="359" spans="22:41" ht="14.25" customHeight="1" x14ac:dyDescent="0.3"/>
    <row r="360" spans="22:41" ht="14.25" customHeight="1" x14ac:dyDescent="0.3">
      <c r="V360" s="414" t="s">
        <v>369</v>
      </c>
      <c r="W360" s="408"/>
      <c r="X360" s="408"/>
      <c r="Y360" s="408"/>
      <c r="Z360" s="408"/>
      <c r="AA360" s="408"/>
      <c r="AB360" s="408"/>
      <c r="AC360" s="408"/>
      <c r="AD360" s="408"/>
      <c r="AE360" s="408"/>
      <c r="AF360" s="408"/>
      <c r="AG360" s="408"/>
      <c r="AH360" s="409"/>
      <c r="AI360" s="422" t="s">
        <v>357</v>
      </c>
    </row>
    <row r="361" spans="22:41" ht="14.25" customHeight="1" x14ac:dyDescent="0.3">
      <c r="V361" s="263"/>
      <c r="W361" s="172" t="s">
        <v>370</v>
      </c>
      <c r="X361" s="172" t="s">
        <v>332</v>
      </c>
      <c r="Y361" s="172" t="s">
        <v>160</v>
      </c>
      <c r="Z361" s="172" t="s">
        <v>371</v>
      </c>
      <c r="AA361" s="172" t="s">
        <v>372</v>
      </c>
      <c r="AB361" s="172" t="s">
        <v>332</v>
      </c>
      <c r="AC361" s="172" t="s">
        <v>160</v>
      </c>
      <c r="AD361" s="254" t="s">
        <v>371</v>
      </c>
      <c r="AE361" s="172" t="s">
        <v>373</v>
      </c>
      <c r="AF361" s="172" t="s">
        <v>136</v>
      </c>
      <c r="AG361" s="172" t="s">
        <v>160</v>
      </c>
      <c r="AH361" s="242" t="s">
        <v>374</v>
      </c>
      <c r="AI361" s="386"/>
    </row>
    <row r="362" spans="22:41" ht="14.25" customHeight="1" x14ac:dyDescent="0.3">
      <c r="V362" s="264" t="s">
        <v>337</v>
      </c>
      <c r="W362" s="172"/>
      <c r="X362" s="172"/>
      <c r="Y362" s="172"/>
      <c r="Z362" s="172"/>
      <c r="AA362" s="172"/>
      <c r="AB362" s="172"/>
      <c r="AC362" s="172"/>
      <c r="AD362" s="254"/>
      <c r="AE362" s="172"/>
      <c r="AF362" s="172"/>
      <c r="AG362" s="172"/>
      <c r="AH362" s="242"/>
      <c r="AI362" s="257"/>
    </row>
    <row r="363" spans="22:41" ht="14.25" customHeight="1" x14ac:dyDescent="0.3">
      <c r="V363" s="264" t="s">
        <v>324</v>
      </c>
      <c r="W363" s="172"/>
      <c r="X363" s="172"/>
      <c r="Y363" s="172"/>
      <c r="Z363" s="172"/>
      <c r="AA363" s="172"/>
      <c r="AB363" s="172"/>
      <c r="AC363" s="172"/>
      <c r="AD363" s="254"/>
      <c r="AE363" s="172"/>
      <c r="AF363" s="172"/>
      <c r="AG363" s="172"/>
      <c r="AH363" s="242"/>
      <c r="AI363" s="255"/>
    </row>
    <row r="364" spans="22:41" ht="14.25" customHeight="1" x14ac:dyDescent="0.3">
      <c r="V364" s="264" t="s">
        <v>325</v>
      </c>
      <c r="W364" s="172"/>
      <c r="X364" s="172"/>
      <c r="Y364" s="172"/>
      <c r="Z364" s="172"/>
      <c r="AA364" s="172"/>
      <c r="AB364" s="172"/>
      <c r="AC364" s="172"/>
      <c r="AD364" s="254"/>
      <c r="AE364" s="172"/>
      <c r="AF364" s="172"/>
      <c r="AG364" s="172"/>
      <c r="AH364" s="242"/>
      <c r="AI364" s="255"/>
    </row>
    <row r="365" spans="22:41" ht="14.25" customHeight="1" x14ac:dyDescent="0.3">
      <c r="V365" s="264" t="s">
        <v>326</v>
      </c>
      <c r="W365" s="172"/>
      <c r="X365" s="172"/>
      <c r="Y365" s="172"/>
      <c r="Z365" s="172"/>
      <c r="AA365" s="172"/>
      <c r="AB365" s="172"/>
      <c r="AC365" s="172"/>
      <c r="AD365" s="254"/>
      <c r="AE365" s="172"/>
      <c r="AF365" s="172"/>
      <c r="AG365" s="172"/>
      <c r="AH365" s="242"/>
      <c r="AI365" s="255"/>
    </row>
    <row r="366" spans="22:41" ht="14.25" customHeight="1" x14ac:dyDescent="0.3">
      <c r="V366" s="265" t="s">
        <v>341</v>
      </c>
      <c r="W366" s="244"/>
      <c r="X366" s="244"/>
      <c r="Y366" s="244"/>
      <c r="Z366" s="244"/>
      <c r="AA366" s="244"/>
      <c r="AB366" s="244"/>
      <c r="AC366" s="244"/>
      <c r="AD366" s="266"/>
      <c r="AE366" s="244"/>
      <c r="AF366" s="244"/>
      <c r="AG366" s="244"/>
      <c r="AH366" s="245"/>
      <c r="AI366" s="255"/>
    </row>
    <row r="367" spans="22:41" ht="14.25" customHeight="1" x14ac:dyDescent="0.3"/>
    <row r="368" spans="22:41" ht="14.25" customHeight="1" x14ac:dyDescent="0.3">
      <c r="V368" s="80" t="s">
        <v>26</v>
      </c>
    </row>
    <row r="369" spans="22:29" ht="14.25" customHeight="1" x14ac:dyDescent="0.3">
      <c r="V369" s="238"/>
      <c r="W369" s="410" t="s">
        <v>136</v>
      </c>
      <c r="X369" s="412"/>
      <c r="Y369" s="392"/>
      <c r="Z369" s="410" t="s">
        <v>137</v>
      </c>
      <c r="AA369" s="412"/>
      <c r="AB369" s="411"/>
      <c r="AC369" s="417" t="s">
        <v>375</v>
      </c>
    </row>
    <row r="370" spans="22:29" ht="14.25" customHeight="1" x14ac:dyDescent="0.3">
      <c r="V370" s="243"/>
      <c r="W370" s="244" t="s">
        <v>140</v>
      </c>
      <c r="X370" s="244" t="s">
        <v>376</v>
      </c>
      <c r="Y370" s="244" t="s">
        <v>160</v>
      </c>
      <c r="Z370" s="244" t="s">
        <v>140</v>
      </c>
      <c r="AA370" s="244" t="s">
        <v>376</v>
      </c>
      <c r="AB370" s="245" t="s">
        <v>160</v>
      </c>
      <c r="AC370" s="418"/>
    </row>
    <row r="371" spans="22:29" ht="14.25" customHeight="1" x14ac:dyDescent="0.3">
      <c r="V371" s="267" t="s">
        <v>337</v>
      </c>
      <c r="W371" s="268"/>
      <c r="X371" s="268"/>
      <c r="Y371" s="268"/>
      <c r="Z371" s="268"/>
      <c r="AA371" s="268"/>
      <c r="AB371" s="269"/>
      <c r="AC371" s="257"/>
    </row>
    <row r="372" spans="22:29" ht="14.25" customHeight="1" x14ac:dyDescent="0.3">
      <c r="V372" s="241" t="s">
        <v>324</v>
      </c>
      <c r="W372" s="172"/>
      <c r="X372" s="172"/>
      <c r="Y372" s="172"/>
      <c r="Z372" s="172"/>
      <c r="AA372" s="172"/>
      <c r="AB372" s="242"/>
      <c r="AC372" s="255"/>
    </row>
    <row r="373" spans="22:29" ht="14.25" customHeight="1" x14ac:dyDescent="0.3">
      <c r="V373" s="241" t="s">
        <v>325</v>
      </c>
      <c r="W373" s="172"/>
      <c r="X373" s="172"/>
      <c r="Y373" s="172"/>
      <c r="Z373" s="172"/>
      <c r="AA373" s="172"/>
      <c r="AB373" s="242"/>
      <c r="AC373" s="255"/>
    </row>
    <row r="374" spans="22:29" ht="14.25" customHeight="1" x14ac:dyDescent="0.3">
      <c r="V374" s="241" t="s">
        <v>326</v>
      </c>
      <c r="W374" s="172"/>
      <c r="X374" s="172"/>
      <c r="Y374" s="172"/>
      <c r="Z374" s="172"/>
      <c r="AA374" s="172"/>
      <c r="AB374" s="242"/>
      <c r="AC374" s="255"/>
    </row>
    <row r="375" spans="22:29" ht="14.25" customHeight="1" x14ac:dyDescent="0.3">
      <c r="V375" s="243" t="s">
        <v>341</v>
      </c>
      <c r="W375" s="244"/>
      <c r="X375" s="244"/>
      <c r="Y375" s="244"/>
      <c r="Z375" s="244"/>
      <c r="AA375" s="244"/>
      <c r="AB375" s="245"/>
      <c r="AC375" s="255"/>
    </row>
    <row r="376" spans="22:29" ht="14.25" customHeight="1" x14ac:dyDescent="0.3"/>
    <row r="377" spans="22:29" ht="14.25" customHeight="1" x14ac:dyDescent="0.3"/>
    <row r="378" spans="22:29" ht="14.25" customHeight="1" x14ac:dyDescent="0.3"/>
    <row r="379" spans="22:29" ht="14.25" customHeight="1" x14ac:dyDescent="0.3"/>
    <row r="380" spans="22:29" ht="14.25" customHeight="1" x14ac:dyDescent="0.3"/>
    <row r="381" spans="22:29" ht="14.25" customHeight="1" x14ac:dyDescent="0.3"/>
    <row r="382" spans="22:29" ht="14.25" customHeight="1" x14ac:dyDescent="0.3"/>
    <row r="383" spans="22:29" ht="14.25" customHeight="1" x14ac:dyDescent="0.3"/>
    <row r="384" spans="22:29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41">
    <mergeCell ref="O189:Q189"/>
    <mergeCell ref="O191:Q191"/>
    <mergeCell ref="O193:Q193"/>
    <mergeCell ref="O195:Q195"/>
    <mergeCell ref="O197:Q197"/>
    <mergeCell ref="O199:Q199"/>
    <mergeCell ref="C185:Q185"/>
    <mergeCell ref="C186:D186"/>
    <mergeCell ref="E186:F186"/>
    <mergeCell ref="C187:F187"/>
    <mergeCell ref="C188:F188"/>
    <mergeCell ref="G188:G189"/>
    <mergeCell ref="H188:H189"/>
    <mergeCell ref="I188:I189"/>
    <mergeCell ref="J188:J189"/>
    <mergeCell ref="K188:K189"/>
    <mergeCell ref="L188:L189"/>
    <mergeCell ref="C184:Q184"/>
    <mergeCell ref="V187:V188"/>
    <mergeCell ref="W187:W188"/>
    <mergeCell ref="X187:X188"/>
    <mergeCell ref="Y187:Y188"/>
    <mergeCell ref="Z187:Z188"/>
    <mergeCell ref="AB187:AC187"/>
    <mergeCell ref="M188:N188"/>
    <mergeCell ref="O188:Q188"/>
    <mergeCell ref="S187:S188"/>
    <mergeCell ref="T187:T188"/>
    <mergeCell ref="U187:U188"/>
    <mergeCell ref="C172:F172"/>
    <mergeCell ref="C173:F173"/>
    <mergeCell ref="C174:F174"/>
    <mergeCell ref="C175:F175"/>
    <mergeCell ref="C176:F176"/>
    <mergeCell ref="C177:F177"/>
    <mergeCell ref="C178:F178"/>
    <mergeCell ref="C179:F179"/>
    <mergeCell ref="C183:Q183"/>
    <mergeCell ref="W177:X177"/>
    <mergeCell ref="W178:Y178"/>
    <mergeCell ref="W179:Y179"/>
    <mergeCell ref="W164:X164"/>
    <mergeCell ref="W165:X165"/>
    <mergeCell ref="W170:X170"/>
    <mergeCell ref="W172:X172"/>
    <mergeCell ref="W174:X174"/>
    <mergeCell ref="W175:X175"/>
    <mergeCell ref="W176:X176"/>
    <mergeCell ref="C141:D141"/>
    <mergeCell ref="C142:D142"/>
    <mergeCell ref="G142:H142"/>
    <mergeCell ref="O142:Q142"/>
    <mergeCell ref="O171:Q171"/>
    <mergeCell ref="W171:X171"/>
    <mergeCell ref="O173:Q173"/>
    <mergeCell ref="W173:X173"/>
    <mergeCell ref="O160:Q160"/>
    <mergeCell ref="O161:Q161"/>
    <mergeCell ref="W161:X161"/>
    <mergeCell ref="W162:X162"/>
    <mergeCell ref="O163:Q163"/>
    <mergeCell ref="W163:Y163"/>
    <mergeCell ref="O165:Q165"/>
    <mergeCell ref="C162:F162"/>
    <mergeCell ref="G162:H162"/>
    <mergeCell ref="C163:F163"/>
    <mergeCell ref="G163:H163"/>
    <mergeCell ref="C164:F164"/>
    <mergeCell ref="G164:H164"/>
    <mergeCell ref="G165:H165"/>
    <mergeCell ref="C170:F170"/>
    <mergeCell ref="G170:H170"/>
    <mergeCell ref="C91:Q91"/>
    <mergeCell ref="C92:Q92"/>
    <mergeCell ref="C93:Q93"/>
    <mergeCell ref="C94:D94"/>
    <mergeCell ref="C95:F95"/>
    <mergeCell ref="O105:Q105"/>
    <mergeCell ref="O107:Q107"/>
    <mergeCell ref="C139:D139"/>
    <mergeCell ref="C140:D140"/>
    <mergeCell ref="O140:Q140"/>
    <mergeCell ref="D63:F63"/>
    <mergeCell ref="I63:K63"/>
    <mergeCell ref="O66:Q66"/>
    <mergeCell ref="H67:M67"/>
    <mergeCell ref="H68:I68"/>
    <mergeCell ref="J68:K68"/>
    <mergeCell ref="L68:M68"/>
    <mergeCell ref="O69:Q69"/>
    <mergeCell ref="H84:I84"/>
    <mergeCell ref="J84:K84"/>
    <mergeCell ref="O41:Q41"/>
    <mergeCell ref="O43:Q43"/>
    <mergeCell ref="O45:Q45"/>
    <mergeCell ref="O47:Q47"/>
    <mergeCell ref="O49:Q49"/>
    <mergeCell ref="O51:Q51"/>
    <mergeCell ref="H56:I56"/>
    <mergeCell ref="J56:K56"/>
    <mergeCell ref="C62:Q62"/>
    <mergeCell ref="D12:H14"/>
    <mergeCell ref="L13:N13"/>
    <mergeCell ref="L15:N15"/>
    <mergeCell ref="C34:Q34"/>
    <mergeCell ref="D35:F35"/>
    <mergeCell ref="I35:K35"/>
    <mergeCell ref="O38:Q38"/>
    <mergeCell ref="H39:M39"/>
    <mergeCell ref="H40:I40"/>
    <mergeCell ref="J40:K40"/>
    <mergeCell ref="L40:M40"/>
    <mergeCell ref="O136:Q136"/>
    <mergeCell ref="O138:Q138"/>
    <mergeCell ref="O132:Q132"/>
    <mergeCell ref="O134:Q134"/>
    <mergeCell ref="C135:D135"/>
    <mergeCell ref="C136:D136"/>
    <mergeCell ref="G136:H136"/>
    <mergeCell ref="C137:D137"/>
    <mergeCell ref="C138:E138"/>
    <mergeCell ref="C115:E115"/>
    <mergeCell ref="C131:D131"/>
    <mergeCell ref="C132:D132"/>
    <mergeCell ref="C133:D133"/>
    <mergeCell ref="C134:E134"/>
    <mergeCell ref="C126:Q126"/>
    <mergeCell ref="C127:Q127"/>
    <mergeCell ref="C128:Q128"/>
    <mergeCell ref="C129:D129"/>
    <mergeCell ref="C130:F130"/>
    <mergeCell ref="G131:H131"/>
    <mergeCell ref="O131:Q131"/>
    <mergeCell ref="C107:D107"/>
    <mergeCell ref="G107:H107"/>
    <mergeCell ref="C108:D108"/>
    <mergeCell ref="C109:D109"/>
    <mergeCell ref="C110:D110"/>
    <mergeCell ref="C111:D111"/>
    <mergeCell ref="C112:D112"/>
    <mergeCell ref="C113:D113"/>
    <mergeCell ref="C114:E114"/>
    <mergeCell ref="O290:Q290"/>
    <mergeCell ref="C301:Q301"/>
    <mergeCell ref="C302:Q302"/>
    <mergeCell ref="C303:Q303"/>
    <mergeCell ref="G305:N305"/>
    <mergeCell ref="O306:Q306"/>
    <mergeCell ref="C96:D96"/>
    <mergeCell ref="G96:H96"/>
    <mergeCell ref="O96:Q96"/>
    <mergeCell ref="C97:D97"/>
    <mergeCell ref="O97:Q97"/>
    <mergeCell ref="C98:D98"/>
    <mergeCell ref="O99:Q99"/>
    <mergeCell ref="C99:E99"/>
    <mergeCell ref="C100:D100"/>
    <mergeCell ref="C101:D101"/>
    <mergeCell ref="G101:H101"/>
    <mergeCell ref="O101:Q101"/>
    <mergeCell ref="C102:D102"/>
    <mergeCell ref="O103:Q103"/>
    <mergeCell ref="C103:E103"/>
    <mergeCell ref="C104:D104"/>
    <mergeCell ref="C105:D105"/>
    <mergeCell ref="C106:D106"/>
    <mergeCell ref="C274:Q274"/>
    <mergeCell ref="C275:D275"/>
    <mergeCell ref="G276:N276"/>
    <mergeCell ref="C277:D277"/>
    <mergeCell ref="O277:Q277"/>
    <mergeCell ref="G282:H282"/>
    <mergeCell ref="G288:H288"/>
    <mergeCell ref="E277:F277"/>
    <mergeCell ref="G277:H277"/>
    <mergeCell ref="O278:Q278"/>
    <mergeCell ref="O280:Q280"/>
    <mergeCell ref="O282:Q282"/>
    <mergeCell ref="O284:Q284"/>
    <mergeCell ref="O286:Q286"/>
    <mergeCell ref="O288:Q288"/>
    <mergeCell ref="O260:Q260"/>
    <mergeCell ref="O262:Q262"/>
    <mergeCell ref="AA271:AC271"/>
    <mergeCell ref="AD271:AF271"/>
    <mergeCell ref="AG271:AI271"/>
    <mergeCell ref="AJ271:AL271"/>
    <mergeCell ref="X271:Z271"/>
    <mergeCell ref="C272:Q272"/>
    <mergeCell ref="C273:Q273"/>
    <mergeCell ref="Z369:AB369"/>
    <mergeCell ref="AC369:AC370"/>
    <mergeCell ref="V350:AJ350"/>
    <mergeCell ref="W351:AC351"/>
    <mergeCell ref="AD351:AJ351"/>
    <mergeCell ref="AK351:AK352"/>
    <mergeCell ref="V360:AH360"/>
    <mergeCell ref="AI360:AI361"/>
    <mergeCell ref="W369:Y369"/>
    <mergeCell ref="O313:Q313"/>
    <mergeCell ref="O315:Q315"/>
    <mergeCell ref="O317:Q317"/>
    <mergeCell ref="W317:Z317"/>
    <mergeCell ref="W325:AA325"/>
    <mergeCell ref="V333:Z333"/>
    <mergeCell ref="V341:AA341"/>
    <mergeCell ref="W342:Z342"/>
    <mergeCell ref="AA342:AA343"/>
    <mergeCell ref="O220:Q220"/>
    <mergeCell ref="O222:Q222"/>
    <mergeCell ref="O224:Q224"/>
    <mergeCell ref="O226:Q226"/>
    <mergeCell ref="O307:Q307"/>
    <mergeCell ref="O309:Q309"/>
    <mergeCell ref="W309:AE309"/>
    <mergeCell ref="AC310:AD310"/>
    <mergeCell ref="O311:Q311"/>
    <mergeCell ref="O228:Q228"/>
    <mergeCell ref="C244:Q244"/>
    <mergeCell ref="C245:Q245"/>
    <mergeCell ref="C246:Q246"/>
    <mergeCell ref="C247:D247"/>
    <mergeCell ref="C249:D249"/>
    <mergeCell ref="G249:H249"/>
    <mergeCell ref="O249:Q249"/>
    <mergeCell ref="O250:Q250"/>
    <mergeCell ref="O252:Q252"/>
    <mergeCell ref="G254:H254"/>
    <mergeCell ref="O254:Q254"/>
    <mergeCell ref="O256:Q256"/>
    <mergeCell ref="G260:H260"/>
    <mergeCell ref="O258:Q258"/>
    <mergeCell ref="C205:F205"/>
    <mergeCell ref="C206:F206"/>
    <mergeCell ref="C207:F207"/>
    <mergeCell ref="J217:J218"/>
    <mergeCell ref="K217:K218"/>
    <mergeCell ref="L217:L218"/>
    <mergeCell ref="M217:M218"/>
    <mergeCell ref="C212:Q212"/>
    <mergeCell ref="C213:Q213"/>
    <mergeCell ref="C214:Q214"/>
    <mergeCell ref="C215:D215"/>
    <mergeCell ref="E215:F215"/>
    <mergeCell ref="C216:F216"/>
    <mergeCell ref="G217:G218"/>
    <mergeCell ref="N217:N218"/>
    <mergeCell ref="O217:Q217"/>
    <mergeCell ref="O218:Q218"/>
    <mergeCell ref="C197:F197"/>
    <mergeCell ref="C198:F198"/>
    <mergeCell ref="C199:F199"/>
    <mergeCell ref="G199:H199"/>
    <mergeCell ref="C200:F200"/>
    <mergeCell ref="C201:F201"/>
    <mergeCell ref="C202:F202"/>
    <mergeCell ref="C203:F203"/>
    <mergeCell ref="C204:F204"/>
    <mergeCell ref="C189:F189"/>
    <mergeCell ref="C190:F190"/>
    <mergeCell ref="C191:F191"/>
    <mergeCell ref="C192:F192"/>
    <mergeCell ref="C193:F193"/>
    <mergeCell ref="G193:H193"/>
    <mergeCell ref="C194:F194"/>
    <mergeCell ref="C195:F195"/>
    <mergeCell ref="C196:F196"/>
    <mergeCell ref="C234:F234"/>
    <mergeCell ref="C235:F235"/>
    <mergeCell ref="C236:F236"/>
    <mergeCell ref="C226:F226"/>
    <mergeCell ref="C227:F227"/>
    <mergeCell ref="C228:F228"/>
    <mergeCell ref="G228:H228"/>
    <mergeCell ref="C229:F229"/>
    <mergeCell ref="C230:F230"/>
    <mergeCell ref="C231:F231"/>
    <mergeCell ref="H217:H218"/>
    <mergeCell ref="I217:I218"/>
    <mergeCell ref="C222:F222"/>
    <mergeCell ref="G222:H222"/>
    <mergeCell ref="C223:F223"/>
    <mergeCell ref="C224:F224"/>
    <mergeCell ref="C225:F225"/>
    <mergeCell ref="C232:F232"/>
    <mergeCell ref="C233:F233"/>
    <mergeCell ref="AA171:AB171"/>
    <mergeCell ref="AI171:AK171"/>
    <mergeCell ref="C168:F168"/>
    <mergeCell ref="G168:H168"/>
    <mergeCell ref="W168:X168"/>
    <mergeCell ref="C169:F169"/>
    <mergeCell ref="G169:H169"/>
    <mergeCell ref="O169:Q169"/>
    <mergeCell ref="AI169:AK169"/>
    <mergeCell ref="C171:F171"/>
    <mergeCell ref="G171:L171"/>
    <mergeCell ref="C165:F165"/>
    <mergeCell ref="C166:F166"/>
    <mergeCell ref="G166:H166"/>
    <mergeCell ref="C167:F167"/>
    <mergeCell ref="G167:H167"/>
    <mergeCell ref="O167:Q167"/>
    <mergeCell ref="W167:Y167"/>
    <mergeCell ref="AI167:AK167"/>
    <mergeCell ref="W169:X169"/>
    <mergeCell ref="J160:J161"/>
    <mergeCell ref="K160:L160"/>
    <mergeCell ref="M160:M161"/>
    <mergeCell ref="N160:N161"/>
    <mergeCell ref="C158:D158"/>
    <mergeCell ref="C159:F159"/>
    <mergeCell ref="G159:N159"/>
    <mergeCell ref="C160:D160"/>
    <mergeCell ref="G160:H161"/>
    <mergeCell ref="I160:I161"/>
    <mergeCell ref="C161:F161"/>
    <mergeCell ref="C150:E150"/>
    <mergeCell ref="C155:Q155"/>
    <mergeCell ref="W155:AK155"/>
    <mergeCell ref="C156:Q156"/>
    <mergeCell ref="W156:AK156"/>
    <mergeCell ref="C157:Q157"/>
    <mergeCell ref="W157:AK157"/>
    <mergeCell ref="W158:X158"/>
    <mergeCell ref="C143:D143"/>
    <mergeCell ref="C144:D144"/>
    <mergeCell ref="C145:D145"/>
    <mergeCell ref="C146:D146"/>
    <mergeCell ref="C147:D147"/>
    <mergeCell ref="C148:D148"/>
    <mergeCell ref="C149:E149"/>
    <mergeCell ref="AA165:AB165"/>
    <mergeCell ref="W166:X166"/>
    <mergeCell ref="W159:Z159"/>
    <mergeCell ref="W160:X160"/>
    <mergeCell ref="AA160:AB160"/>
    <mergeCell ref="AI160:AK160"/>
    <mergeCell ref="AI161:AK161"/>
    <mergeCell ref="AI163:AK163"/>
    <mergeCell ref="AI165:AK165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Q1000"/>
  <sheetViews>
    <sheetView workbookViewId="0"/>
  </sheetViews>
  <sheetFormatPr defaultColWidth="14.44140625" defaultRowHeight="15" customHeight="1" x14ac:dyDescent="0.3"/>
  <cols>
    <col min="1" max="7" width="8.6640625" customWidth="1"/>
    <col min="8" max="8" width="11.109375" customWidth="1"/>
    <col min="9" max="26" width="8.6640625" customWidth="1"/>
  </cols>
  <sheetData>
    <row r="1" spans="3:13" ht="14.25" customHeight="1" x14ac:dyDescent="0.3"/>
    <row r="2" spans="3:13" ht="14.25" customHeight="1" x14ac:dyDescent="0.3"/>
    <row r="3" spans="3:13" ht="14.25" customHeight="1" x14ac:dyDescent="0.3"/>
    <row r="4" spans="3:13" ht="14.25" customHeight="1" x14ac:dyDescent="0.3"/>
    <row r="5" spans="3:13" ht="14.25" customHeight="1" x14ac:dyDescent="0.3">
      <c r="C5" s="80" t="s">
        <v>377</v>
      </c>
    </row>
    <row r="6" spans="3:13" ht="14.25" customHeight="1" x14ac:dyDescent="0.3">
      <c r="C6" s="270"/>
      <c r="D6" s="270"/>
      <c r="E6" s="270"/>
      <c r="F6" s="270"/>
      <c r="G6" s="270"/>
      <c r="H6" s="270" t="s">
        <v>378</v>
      </c>
      <c r="I6" s="270"/>
      <c r="J6" s="270">
        <v>17</v>
      </c>
      <c r="K6" s="270"/>
    </row>
    <row r="7" spans="3:13" ht="14.25" customHeight="1" x14ac:dyDescent="0.3">
      <c r="C7" s="270"/>
      <c r="D7" s="270"/>
      <c r="E7" s="270"/>
      <c r="F7" s="270"/>
      <c r="G7" s="270"/>
      <c r="H7" s="270"/>
      <c r="I7" s="270"/>
      <c r="J7" s="270"/>
      <c r="K7" s="270"/>
    </row>
    <row r="8" spans="3:13" ht="14.25" customHeight="1" x14ac:dyDescent="0.3">
      <c r="C8" s="270"/>
      <c r="D8" s="270"/>
      <c r="E8" s="270"/>
      <c r="F8" s="270"/>
      <c r="G8" s="270"/>
      <c r="H8" s="270"/>
      <c r="I8" s="270"/>
      <c r="J8" s="270"/>
      <c r="K8" s="270"/>
    </row>
    <row r="9" spans="3:13" ht="14.25" customHeight="1" x14ac:dyDescent="0.3">
      <c r="C9" s="270"/>
      <c r="D9" s="270"/>
      <c r="E9" s="270"/>
      <c r="F9" s="270"/>
      <c r="G9" s="270"/>
      <c r="H9" s="270"/>
      <c r="I9" s="270"/>
      <c r="J9" s="270"/>
      <c r="K9" s="270"/>
    </row>
    <row r="10" spans="3:13" ht="14.25" customHeight="1" x14ac:dyDescent="0.3">
      <c r="C10" s="270"/>
      <c r="D10" s="270"/>
      <c r="E10" s="270"/>
      <c r="F10" s="270"/>
      <c r="G10" s="270"/>
      <c r="H10" s="270"/>
      <c r="I10" s="270"/>
      <c r="J10" s="270"/>
      <c r="K10" s="270"/>
    </row>
    <row r="11" spans="3:13" ht="14.25" customHeight="1" x14ac:dyDescent="0.3">
      <c r="C11" s="270"/>
      <c r="D11" s="270"/>
      <c r="E11" s="270"/>
      <c r="F11" s="270"/>
      <c r="G11" s="270"/>
      <c r="H11" s="270"/>
      <c r="I11" s="270"/>
      <c r="J11" s="270"/>
      <c r="K11" s="270"/>
      <c r="M11" s="271" t="s">
        <v>379</v>
      </c>
    </row>
    <row r="12" spans="3:13" ht="14.25" customHeight="1" x14ac:dyDescent="0.3">
      <c r="C12" s="270"/>
      <c r="D12" s="270"/>
      <c r="E12" s="270"/>
      <c r="F12" s="270"/>
      <c r="G12" s="270"/>
      <c r="H12" s="272" t="s">
        <v>380</v>
      </c>
      <c r="I12" s="272" t="s">
        <v>174</v>
      </c>
      <c r="J12" s="272" t="s">
        <v>381</v>
      </c>
      <c r="K12" s="270"/>
    </row>
    <row r="13" spans="3:13" ht="14.25" customHeight="1" x14ac:dyDescent="0.3">
      <c r="C13" s="270"/>
      <c r="D13" s="270"/>
      <c r="E13" s="270"/>
      <c r="F13" s="270"/>
      <c r="G13" s="270"/>
      <c r="H13" s="272">
        <v>16</v>
      </c>
      <c r="I13" s="272">
        <v>126</v>
      </c>
      <c r="J13" s="272">
        <v>2.5</v>
      </c>
      <c r="K13" s="270"/>
      <c r="M13" s="271" t="s">
        <v>382</v>
      </c>
    </row>
    <row r="14" spans="3:13" ht="14.25" customHeight="1" x14ac:dyDescent="0.3">
      <c r="C14" s="270"/>
      <c r="D14" s="270"/>
      <c r="E14" s="270"/>
      <c r="F14" s="273" t="s">
        <v>383</v>
      </c>
      <c r="G14" s="270"/>
      <c r="H14" s="272">
        <v>17</v>
      </c>
      <c r="I14" s="272">
        <v>247</v>
      </c>
      <c r="J14" s="272">
        <v>4</v>
      </c>
      <c r="K14" s="270"/>
    </row>
    <row r="15" spans="3:13" ht="14.25" customHeight="1" x14ac:dyDescent="0.3">
      <c r="C15" s="270"/>
      <c r="D15" s="270"/>
      <c r="E15" s="270"/>
      <c r="F15" s="270"/>
      <c r="G15" s="270"/>
      <c r="H15" s="272">
        <v>18</v>
      </c>
      <c r="I15" s="272">
        <v>410</v>
      </c>
      <c r="J15" s="272">
        <v>6</v>
      </c>
      <c r="K15" s="270"/>
    </row>
    <row r="16" spans="3:13" ht="14.25" customHeight="1" x14ac:dyDescent="0.3">
      <c r="C16" s="270"/>
      <c r="D16" s="270"/>
      <c r="E16" s="270"/>
      <c r="F16" s="270"/>
      <c r="G16" s="270"/>
      <c r="H16" s="272"/>
      <c r="I16" s="272"/>
      <c r="J16" s="272"/>
      <c r="K16" s="270"/>
    </row>
    <row r="17" spans="3:17" ht="14.25" customHeight="1" x14ac:dyDescent="0.3">
      <c r="C17" s="270"/>
      <c r="D17" s="270"/>
      <c r="E17" s="270"/>
      <c r="F17" s="270"/>
      <c r="G17" s="270"/>
      <c r="H17" s="272" t="s">
        <v>111</v>
      </c>
      <c r="I17" s="272">
        <f t="shared" ref="I17:J17" si="0">SUM(I13:I16)</f>
        <v>783</v>
      </c>
      <c r="J17" s="272">
        <f t="shared" si="0"/>
        <v>12.5</v>
      </c>
      <c r="K17" s="270">
        <f>J6-J17</f>
        <v>4.5</v>
      </c>
    </row>
    <row r="18" spans="3:17" ht="14.25" customHeight="1" x14ac:dyDescent="0.3">
      <c r="C18" s="270"/>
      <c r="D18" s="270"/>
      <c r="E18" s="270"/>
      <c r="F18" s="270"/>
      <c r="G18" s="270"/>
      <c r="H18" s="270"/>
      <c r="I18" s="270"/>
      <c r="J18" s="270"/>
      <c r="K18" s="270"/>
      <c r="N18" s="80" t="s">
        <v>380</v>
      </c>
      <c r="P18" s="80" t="s">
        <v>354</v>
      </c>
      <c r="Q18" s="80">
        <v>17</v>
      </c>
    </row>
    <row r="19" spans="3:17" ht="14.25" customHeight="1" x14ac:dyDescent="0.3">
      <c r="C19" s="270"/>
      <c r="D19" s="270"/>
      <c r="E19" s="270"/>
      <c r="F19" s="270"/>
      <c r="G19" s="270"/>
      <c r="H19" s="270"/>
      <c r="I19" s="270"/>
      <c r="J19" s="270"/>
      <c r="K19" s="270"/>
      <c r="N19" s="80">
        <v>1</v>
      </c>
      <c r="O19" s="80">
        <v>220</v>
      </c>
      <c r="P19" s="80">
        <v>4.5</v>
      </c>
    </row>
    <row r="20" spans="3:17" ht="14.25" customHeight="1" x14ac:dyDescent="0.3">
      <c r="C20" s="270"/>
      <c r="D20" s="270"/>
      <c r="E20" s="270"/>
      <c r="F20" s="270"/>
      <c r="G20" s="270"/>
      <c r="H20" s="270"/>
      <c r="I20" s="270"/>
      <c r="J20" s="270"/>
      <c r="K20" s="270"/>
      <c r="N20" s="80">
        <v>2</v>
      </c>
      <c r="O20" s="80">
        <v>210</v>
      </c>
      <c r="P20" s="80">
        <v>5.5</v>
      </c>
    </row>
    <row r="21" spans="3:17" ht="14.25" customHeight="1" x14ac:dyDescent="0.3">
      <c r="C21" s="270"/>
      <c r="D21" s="270"/>
      <c r="E21" s="270"/>
      <c r="F21" s="270"/>
      <c r="G21" s="270"/>
      <c r="H21" s="272" t="s">
        <v>380</v>
      </c>
      <c r="I21" s="272" t="s">
        <v>174</v>
      </c>
      <c r="J21" s="272" t="s">
        <v>381</v>
      </c>
      <c r="K21" s="270"/>
      <c r="N21" s="80">
        <v>3</v>
      </c>
      <c r="O21" s="80">
        <v>213</v>
      </c>
      <c r="P21" s="80">
        <v>4.5999999999999996</v>
      </c>
    </row>
    <row r="22" spans="3:17" ht="14.25" customHeight="1" x14ac:dyDescent="0.3">
      <c r="C22" s="270"/>
      <c r="D22" s="270"/>
      <c r="E22" s="270"/>
      <c r="F22" s="274" t="s">
        <v>384</v>
      </c>
      <c r="G22" s="270"/>
      <c r="H22" s="272">
        <v>7</v>
      </c>
      <c r="I22" s="272">
        <v>226</v>
      </c>
      <c r="J22" s="272">
        <v>4.5</v>
      </c>
      <c r="K22" s="270"/>
      <c r="N22" s="80">
        <v>4</v>
      </c>
      <c r="O22" s="80">
        <v>103</v>
      </c>
      <c r="P22" s="80">
        <v>0.4</v>
      </c>
    </row>
    <row r="23" spans="3:17" ht="14.25" customHeight="1" x14ac:dyDescent="0.3">
      <c r="C23" s="270"/>
      <c r="D23" s="270"/>
      <c r="E23" s="270"/>
      <c r="F23" s="270"/>
      <c r="G23" s="270"/>
      <c r="H23" s="272">
        <v>8</v>
      </c>
      <c r="I23" s="272">
        <v>417</v>
      </c>
      <c r="J23" s="272">
        <v>6.5</v>
      </c>
      <c r="K23" s="270"/>
      <c r="O23" s="80">
        <f t="shared" ref="O23:P23" si="1">SUM(O19:O22)</f>
        <v>746</v>
      </c>
      <c r="P23" s="80">
        <f t="shared" si="1"/>
        <v>15</v>
      </c>
      <c r="Q23" s="80">
        <f>Q18-P23</f>
        <v>2</v>
      </c>
    </row>
    <row r="24" spans="3:17" ht="14.25" customHeight="1" x14ac:dyDescent="0.3">
      <c r="C24" s="270"/>
      <c r="D24" s="270"/>
      <c r="E24" s="270"/>
      <c r="F24" s="270"/>
      <c r="G24" s="270"/>
      <c r="H24" s="272">
        <v>9</v>
      </c>
      <c r="I24" s="272">
        <v>420</v>
      </c>
      <c r="J24" s="272">
        <v>6</v>
      </c>
      <c r="K24" s="270"/>
    </row>
    <row r="25" spans="3:17" ht="14.25" customHeight="1" x14ac:dyDescent="0.3">
      <c r="C25" s="270"/>
      <c r="D25" s="270"/>
      <c r="E25" s="270"/>
      <c r="F25" s="270"/>
      <c r="G25" s="270"/>
      <c r="H25" s="272"/>
      <c r="I25" s="272"/>
      <c r="J25" s="272"/>
      <c r="K25" s="270"/>
      <c r="N25" s="80">
        <v>7</v>
      </c>
    </row>
    <row r="26" spans="3:17" ht="14.25" customHeight="1" x14ac:dyDescent="0.3">
      <c r="C26" s="270"/>
      <c r="D26" s="270"/>
      <c r="E26" s="270"/>
      <c r="F26" s="270"/>
      <c r="G26" s="270"/>
      <c r="H26" s="272" t="s">
        <v>111</v>
      </c>
      <c r="I26" s="272">
        <f t="shared" ref="I26:J26" si="2">SUM(I22:I25)</f>
        <v>1063</v>
      </c>
      <c r="J26" s="272">
        <f t="shared" si="2"/>
        <v>17</v>
      </c>
      <c r="K26" s="270">
        <f>J26-J6</f>
        <v>0</v>
      </c>
      <c r="N26" s="80">
        <v>8</v>
      </c>
    </row>
    <row r="27" spans="3:17" ht="14.25" customHeight="1" x14ac:dyDescent="0.3">
      <c r="C27" s="270"/>
      <c r="D27" s="270"/>
      <c r="E27" s="270"/>
      <c r="F27" s="270"/>
      <c r="G27" s="270"/>
      <c r="H27" s="270"/>
      <c r="I27" s="270"/>
      <c r="J27" s="270"/>
      <c r="K27" s="270"/>
      <c r="N27" s="80">
        <v>9</v>
      </c>
    </row>
    <row r="28" spans="3:17" ht="14.25" customHeight="1" x14ac:dyDescent="0.3">
      <c r="C28" s="270"/>
      <c r="D28" s="270"/>
      <c r="E28" s="270"/>
      <c r="F28" s="270"/>
      <c r="G28" s="270"/>
      <c r="H28" s="270"/>
      <c r="I28" s="270"/>
      <c r="J28" s="270"/>
      <c r="K28" s="270"/>
    </row>
    <row r="29" spans="3:17" ht="14.25" customHeight="1" x14ac:dyDescent="0.3">
      <c r="C29" s="270"/>
      <c r="D29" s="270"/>
      <c r="E29" s="270"/>
      <c r="F29" s="270"/>
      <c r="G29" s="270"/>
      <c r="H29" s="272" t="s">
        <v>380</v>
      </c>
      <c r="I29" s="272" t="s">
        <v>174</v>
      </c>
      <c r="J29" s="272" t="s">
        <v>381</v>
      </c>
      <c r="K29" s="270"/>
    </row>
    <row r="30" spans="3:17" ht="14.25" customHeight="1" x14ac:dyDescent="0.3">
      <c r="C30" s="270"/>
      <c r="D30" s="270"/>
      <c r="E30" s="270"/>
      <c r="F30" s="270"/>
      <c r="G30" s="270"/>
      <c r="H30" s="272">
        <v>1</v>
      </c>
      <c r="I30" s="272">
        <v>220</v>
      </c>
      <c r="J30" s="272">
        <v>4.5</v>
      </c>
      <c r="K30" s="270"/>
    </row>
    <row r="31" spans="3:17" ht="14.25" customHeight="1" x14ac:dyDescent="0.3">
      <c r="C31" s="270"/>
      <c r="D31" s="270"/>
      <c r="E31" s="270"/>
      <c r="F31" s="274" t="s">
        <v>384</v>
      </c>
      <c r="G31" s="270"/>
      <c r="H31" s="272">
        <v>2</v>
      </c>
      <c r="I31" s="272">
        <v>210</v>
      </c>
      <c r="J31" s="272">
        <v>5.5</v>
      </c>
      <c r="K31" s="270"/>
    </row>
    <row r="32" spans="3:17" ht="14.25" customHeight="1" x14ac:dyDescent="0.3">
      <c r="C32" s="270"/>
      <c r="D32" s="270"/>
      <c r="E32" s="270"/>
      <c r="F32" s="270"/>
      <c r="G32" s="270"/>
      <c r="H32" s="272">
        <v>3</v>
      </c>
      <c r="I32" s="272">
        <v>213</v>
      </c>
      <c r="J32" s="272">
        <v>4.5999999999999996</v>
      </c>
      <c r="K32" s="270"/>
    </row>
    <row r="33" spans="3:13" ht="14.25" customHeight="1" x14ac:dyDescent="0.3">
      <c r="C33" s="270"/>
      <c r="D33" s="270"/>
      <c r="E33" s="270"/>
      <c r="F33" s="270"/>
      <c r="G33" s="270"/>
      <c r="H33" s="272">
        <v>4</v>
      </c>
      <c r="I33" s="272">
        <v>103</v>
      </c>
      <c r="J33" s="272">
        <v>0.4</v>
      </c>
      <c r="K33" s="270"/>
    </row>
    <row r="34" spans="3:13" ht="14.25" customHeight="1" x14ac:dyDescent="0.3">
      <c r="C34" s="270"/>
      <c r="D34" s="270"/>
      <c r="E34" s="270"/>
      <c r="F34" s="270"/>
      <c r="G34" s="270"/>
      <c r="H34" s="272" t="s">
        <v>111</v>
      </c>
      <c r="I34" s="272">
        <f t="shared" ref="I34:J34" si="3">SUM(I30:I33)</f>
        <v>746</v>
      </c>
      <c r="J34" s="272">
        <f t="shared" si="3"/>
        <v>15</v>
      </c>
      <c r="K34" s="270"/>
    </row>
    <row r="35" spans="3:13" ht="14.25" customHeight="1" x14ac:dyDescent="0.3">
      <c r="C35" s="270"/>
      <c r="D35" s="270"/>
      <c r="E35" s="270"/>
      <c r="F35" s="270"/>
      <c r="G35" s="270"/>
      <c r="H35" s="270"/>
      <c r="I35" s="270"/>
      <c r="J35" s="270"/>
      <c r="K35" s="270"/>
    </row>
    <row r="36" spans="3:13" ht="14.25" customHeight="1" x14ac:dyDescent="0.3"/>
    <row r="37" spans="3:13" ht="14.25" customHeight="1" x14ac:dyDescent="0.3">
      <c r="M37" s="275"/>
    </row>
    <row r="38" spans="3:13" ht="14.25" customHeight="1" x14ac:dyDescent="0.3"/>
    <row r="39" spans="3:13" ht="14.25" customHeight="1" x14ac:dyDescent="0.3"/>
    <row r="40" spans="3:13" ht="14.25" customHeight="1" x14ac:dyDescent="0.3"/>
    <row r="41" spans="3:13" ht="14.25" customHeight="1" x14ac:dyDescent="0.3"/>
    <row r="42" spans="3:13" ht="14.25" customHeight="1" x14ac:dyDescent="0.3"/>
    <row r="43" spans="3:13" ht="14.25" customHeight="1" x14ac:dyDescent="0.3"/>
    <row r="44" spans="3:13" ht="14.25" customHeight="1" x14ac:dyDescent="0.3"/>
    <row r="45" spans="3:13" ht="14.25" customHeight="1" x14ac:dyDescent="0.3"/>
    <row r="46" spans="3:13" ht="14.25" customHeight="1" x14ac:dyDescent="0.3"/>
    <row r="47" spans="3:13" ht="14.25" customHeight="1" x14ac:dyDescent="0.3"/>
    <row r="48" spans="3:13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000"/>
  <sheetViews>
    <sheetView workbookViewId="0"/>
  </sheetViews>
  <sheetFormatPr defaultColWidth="14.44140625" defaultRowHeight="15" customHeight="1" x14ac:dyDescent="0.3"/>
  <cols>
    <col min="1" max="13" width="8.6640625" customWidth="1"/>
    <col min="14" max="14" width="20.44140625" customWidth="1"/>
    <col min="15" max="26" width="8.6640625" customWidth="1"/>
  </cols>
  <sheetData>
    <row r="1" spans="1:23" ht="14.25" customHeight="1" x14ac:dyDescent="0.3"/>
    <row r="2" spans="1:23" ht="14.25" customHeight="1" x14ac:dyDescent="0.3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3" spans="1:23" ht="14.25" customHeight="1" x14ac:dyDescent="0.3">
      <c r="A3" s="77"/>
      <c r="B3" s="77"/>
      <c r="C3" s="179" t="s">
        <v>385</v>
      </c>
      <c r="D3" s="186"/>
      <c r="E3" s="186"/>
      <c r="F3" s="186"/>
      <c r="G3" s="186"/>
      <c r="H3" s="186"/>
      <c r="I3" s="276" t="s">
        <v>386</v>
      </c>
      <c r="J3" s="277"/>
      <c r="K3" s="77"/>
      <c r="L3" s="77"/>
      <c r="M3" s="77"/>
      <c r="N3" s="77"/>
      <c r="O3" s="77"/>
      <c r="P3" s="77"/>
      <c r="Q3" s="77"/>
    </row>
    <row r="4" spans="1:23" ht="14.25" customHeight="1" x14ac:dyDescent="0.3">
      <c r="A4" s="77"/>
      <c r="B4" s="77"/>
      <c r="C4" s="278" t="s">
        <v>387</v>
      </c>
      <c r="D4" s="77"/>
      <c r="E4" s="77"/>
      <c r="F4" s="77"/>
      <c r="G4" s="77"/>
      <c r="H4" s="77"/>
      <c r="I4" s="276" t="s">
        <v>388</v>
      </c>
      <c r="J4" s="240"/>
      <c r="K4" s="77"/>
      <c r="L4" s="77"/>
      <c r="M4" s="77"/>
      <c r="N4" s="77"/>
      <c r="O4" s="77"/>
      <c r="P4" s="77"/>
      <c r="Q4" s="77"/>
    </row>
    <row r="5" spans="1:23" ht="14.25" customHeight="1" x14ac:dyDescent="0.3">
      <c r="A5" s="77"/>
      <c r="B5" s="77"/>
      <c r="C5" s="263" t="s">
        <v>389</v>
      </c>
      <c r="D5" s="77"/>
      <c r="E5" s="77" t="s">
        <v>41</v>
      </c>
      <c r="F5" s="77"/>
      <c r="G5" s="77"/>
      <c r="H5" s="77"/>
      <c r="I5" s="77"/>
      <c r="J5" s="240"/>
      <c r="K5" s="77"/>
      <c r="L5" s="77"/>
      <c r="M5" s="77"/>
      <c r="N5" s="77"/>
      <c r="O5" s="77"/>
      <c r="P5" s="77"/>
      <c r="Q5" s="77"/>
    </row>
    <row r="6" spans="1:23" ht="14.25" customHeight="1" x14ac:dyDescent="0.3">
      <c r="A6" s="77"/>
      <c r="B6" s="77"/>
      <c r="C6" s="263"/>
      <c r="D6" s="77"/>
      <c r="E6" s="77"/>
      <c r="F6" s="77"/>
      <c r="G6" s="77"/>
      <c r="H6" s="77"/>
      <c r="I6" s="77"/>
      <c r="J6" s="240"/>
      <c r="K6" s="77"/>
      <c r="L6" s="77"/>
      <c r="M6" s="77"/>
      <c r="N6" s="77"/>
      <c r="O6" s="77"/>
      <c r="P6" s="77"/>
      <c r="Q6" s="77"/>
    </row>
    <row r="7" spans="1:23" ht="14.25" customHeight="1" x14ac:dyDescent="0.3">
      <c r="A7" s="77"/>
      <c r="B7" s="77"/>
      <c r="C7" s="263"/>
      <c r="D7" s="77"/>
      <c r="E7" s="77"/>
      <c r="F7" s="77"/>
      <c r="G7" s="77"/>
      <c r="H7" s="77"/>
      <c r="I7" s="77" t="s">
        <v>390</v>
      </c>
      <c r="J7" s="240" t="s">
        <v>391</v>
      </c>
      <c r="K7" s="77"/>
      <c r="L7" s="77"/>
      <c r="M7" s="77"/>
      <c r="N7" s="77"/>
      <c r="O7" s="77"/>
      <c r="P7" s="77"/>
      <c r="Q7" s="77"/>
    </row>
    <row r="8" spans="1:23" ht="14.25" customHeight="1" x14ac:dyDescent="0.3">
      <c r="A8" s="77"/>
      <c r="B8" s="77"/>
      <c r="C8" s="263"/>
      <c r="D8" s="77"/>
      <c r="E8" s="77"/>
      <c r="F8" s="77"/>
      <c r="G8" s="77"/>
      <c r="H8" s="77"/>
      <c r="I8" s="77"/>
      <c r="J8" s="240" t="s">
        <v>392</v>
      </c>
      <c r="K8" s="77"/>
      <c r="L8" s="77"/>
      <c r="M8" s="77"/>
      <c r="N8" s="77"/>
      <c r="O8" s="77"/>
      <c r="P8" s="77"/>
      <c r="Q8" s="77"/>
    </row>
    <row r="9" spans="1:23" ht="14.25" customHeight="1" x14ac:dyDescent="0.3">
      <c r="A9" s="77"/>
      <c r="B9" s="77"/>
      <c r="C9" s="263"/>
      <c r="D9" s="77"/>
      <c r="E9" s="77"/>
      <c r="F9" s="77"/>
      <c r="G9" s="77"/>
      <c r="H9" s="77"/>
      <c r="I9" s="77" t="s">
        <v>393</v>
      </c>
      <c r="J9" s="240">
        <v>3</v>
      </c>
      <c r="K9" s="77"/>
      <c r="L9" s="77"/>
      <c r="M9" s="77"/>
      <c r="N9" s="77"/>
      <c r="O9" s="77"/>
      <c r="P9" s="77"/>
      <c r="Q9" s="77"/>
    </row>
    <row r="10" spans="1:23" ht="14.25" customHeight="1" x14ac:dyDescent="0.3">
      <c r="A10" s="77"/>
      <c r="B10" s="77"/>
      <c r="C10" s="263"/>
      <c r="D10" s="77"/>
      <c r="E10" s="77"/>
      <c r="F10" s="77"/>
      <c r="G10" s="77"/>
      <c r="H10" s="77"/>
      <c r="I10" s="77"/>
      <c r="J10" s="240">
        <v>24</v>
      </c>
      <c r="K10" s="77"/>
      <c r="L10" s="77"/>
      <c r="M10" s="77"/>
      <c r="N10" s="77"/>
      <c r="O10" s="77"/>
      <c r="P10" s="77"/>
      <c r="Q10" s="77"/>
      <c r="U10" s="5" t="s">
        <v>386</v>
      </c>
      <c r="V10" s="5"/>
      <c r="W10" s="6"/>
    </row>
    <row r="11" spans="1:23" ht="14.25" customHeight="1" x14ac:dyDescent="0.3">
      <c r="A11" s="77"/>
      <c r="B11" s="77"/>
      <c r="C11" s="263"/>
      <c r="D11" s="77"/>
      <c r="E11" s="77"/>
      <c r="F11" s="77"/>
      <c r="G11" s="77"/>
      <c r="H11" s="77"/>
      <c r="I11" s="77"/>
      <c r="J11" s="240"/>
      <c r="K11" s="77"/>
      <c r="L11" s="77"/>
      <c r="M11" s="77"/>
      <c r="N11" s="77"/>
      <c r="O11" s="77"/>
      <c r="P11" s="77"/>
      <c r="Q11" s="77"/>
      <c r="U11" s="5" t="s">
        <v>388</v>
      </c>
      <c r="V11" s="5"/>
      <c r="W11" s="6"/>
    </row>
    <row r="12" spans="1:23" ht="14.25" customHeight="1" x14ac:dyDescent="0.3">
      <c r="A12" s="77"/>
      <c r="B12" s="77"/>
      <c r="C12" s="263"/>
      <c r="D12" s="77"/>
      <c r="E12" s="77"/>
      <c r="F12" s="77"/>
      <c r="G12" s="77"/>
      <c r="H12" s="77"/>
      <c r="I12" s="77"/>
      <c r="J12" s="240"/>
      <c r="K12" s="77"/>
      <c r="L12" s="77"/>
      <c r="M12" s="77"/>
      <c r="N12" s="77"/>
      <c r="O12" s="77"/>
      <c r="P12" s="77"/>
      <c r="Q12" s="77"/>
    </row>
    <row r="13" spans="1:23" ht="14.25" customHeight="1" x14ac:dyDescent="0.3">
      <c r="A13" s="77"/>
      <c r="B13" s="77"/>
      <c r="C13" s="263"/>
      <c r="D13" s="77"/>
      <c r="E13" s="77"/>
      <c r="F13" s="77"/>
      <c r="G13" s="77"/>
      <c r="H13" s="77"/>
      <c r="I13" s="77"/>
      <c r="J13" s="240"/>
      <c r="K13" s="77"/>
      <c r="L13" s="77"/>
      <c r="M13" s="77"/>
      <c r="N13" s="77"/>
      <c r="O13" s="77"/>
      <c r="P13" s="77"/>
      <c r="Q13" s="77"/>
    </row>
    <row r="14" spans="1:23" ht="14.25" customHeight="1" x14ac:dyDescent="0.3">
      <c r="A14" s="77"/>
      <c r="B14" s="77"/>
      <c r="C14" s="263"/>
      <c r="D14" s="77"/>
      <c r="E14" s="77"/>
      <c r="F14" s="77"/>
      <c r="G14" s="77"/>
      <c r="H14" s="77"/>
      <c r="I14" s="77"/>
      <c r="J14" s="240"/>
      <c r="K14" s="77"/>
      <c r="L14" s="77"/>
      <c r="M14" s="77"/>
      <c r="N14" s="77"/>
      <c r="O14" s="77"/>
      <c r="P14" s="77"/>
      <c r="Q14" s="77"/>
    </row>
    <row r="15" spans="1:23" ht="14.25" customHeight="1" x14ac:dyDescent="0.3">
      <c r="A15" s="77"/>
      <c r="B15" s="77"/>
      <c r="C15" s="263"/>
      <c r="D15" s="77"/>
      <c r="E15" s="77"/>
      <c r="F15" s="77"/>
      <c r="G15" s="77"/>
      <c r="H15" s="77"/>
      <c r="I15" s="77"/>
      <c r="J15" s="240"/>
      <c r="K15" s="77"/>
      <c r="L15" s="77"/>
      <c r="M15" s="77"/>
      <c r="N15" s="77" t="s">
        <v>394</v>
      </c>
      <c r="O15" s="77"/>
      <c r="P15" s="77"/>
      <c r="Q15" s="77" t="s">
        <v>395</v>
      </c>
    </row>
    <row r="16" spans="1:23" ht="14.25" customHeight="1" x14ac:dyDescent="0.3">
      <c r="A16" s="77"/>
      <c r="B16" s="77"/>
      <c r="C16" s="263"/>
      <c r="D16" s="77"/>
      <c r="E16" s="77"/>
      <c r="F16" s="77"/>
      <c r="G16" s="77"/>
      <c r="H16" s="77"/>
      <c r="I16" s="77"/>
      <c r="J16" s="240"/>
      <c r="K16" s="77"/>
      <c r="L16" s="77"/>
      <c r="M16" s="77"/>
      <c r="N16" s="77"/>
      <c r="O16" s="77"/>
      <c r="P16" s="77"/>
      <c r="Q16" s="77"/>
    </row>
    <row r="17" spans="1:18" ht="14.25" customHeight="1" x14ac:dyDescent="0.3">
      <c r="A17" s="77"/>
      <c r="B17" s="77"/>
      <c r="C17" s="263"/>
      <c r="D17" s="77"/>
      <c r="E17" s="77"/>
      <c r="F17" s="77"/>
      <c r="G17" s="77"/>
      <c r="H17" s="77"/>
      <c r="I17" s="77"/>
      <c r="J17" s="240"/>
      <c r="K17" s="77"/>
      <c r="L17" s="77"/>
      <c r="M17" s="77"/>
      <c r="N17" s="77" t="s">
        <v>396</v>
      </c>
      <c r="O17" s="77">
        <v>88</v>
      </c>
      <c r="P17" s="77"/>
      <c r="Q17" s="77" t="s">
        <v>397</v>
      </c>
      <c r="R17" s="80">
        <v>41</v>
      </c>
    </row>
    <row r="18" spans="1:18" ht="14.25" customHeight="1" x14ac:dyDescent="0.3">
      <c r="A18" s="77"/>
      <c r="B18" s="77"/>
      <c r="C18" s="263"/>
      <c r="D18" s="77"/>
      <c r="E18" s="77"/>
      <c r="F18" s="77"/>
      <c r="G18" s="77"/>
      <c r="H18" s="77"/>
      <c r="I18" s="77"/>
      <c r="J18" s="240"/>
      <c r="K18" s="77"/>
      <c r="L18" s="77"/>
      <c r="M18" s="77"/>
      <c r="N18" s="77" t="s">
        <v>398</v>
      </c>
      <c r="O18" s="77">
        <v>7</v>
      </c>
      <c r="P18" s="77"/>
      <c r="Q18" s="77" t="s">
        <v>399</v>
      </c>
      <c r="R18" s="80">
        <v>2</v>
      </c>
    </row>
    <row r="19" spans="1:18" ht="14.25" customHeight="1" x14ac:dyDescent="0.3">
      <c r="A19" s="77"/>
      <c r="B19" s="77"/>
      <c r="C19" s="263"/>
      <c r="D19" s="77"/>
      <c r="E19" s="77"/>
      <c r="F19" s="77"/>
      <c r="G19" s="77"/>
      <c r="H19" s="77"/>
      <c r="I19" s="77"/>
      <c r="J19" s="240"/>
      <c r="K19" s="77"/>
      <c r="L19" s="77"/>
      <c r="M19" s="77"/>
      <c r="N19" s="77" t="s">
        <v>399</v>
      </c>
      <c r="O19" s="77">
        <v>6</v>
      </c>
      <c r="P19" s="77"/>
      <c r="Q19" s="77" t="s">
        <v>400</v>
      </c>
      <c r="R19" s="80">
        <v>3</v>
      </c>
    </row>
    <row r="20" spans="1:18" ht="14.25" customHeight="1" x14ac:dyDescent="0.3">
      <c r="A20" s="77"/>
      <c r="B20" s="77"/>
      <c r="C20" s="263"/>
      <c r="D20" s="77"/>
      <c r="E20" s="77"/>
      <c r="F20" s="77"/>
      <c r="G20" s="77"/>
      <c r="H20" s="77"/>
      <c r="I20" s="77"/>
      <c r="J20" s="240"/>
      <c r="K20" s="77"/>
      <c r="L20" s="77"/>
      <c r="M20" s="77"/>
      <c r="N20" s="77" t="s">
        <v>401</v>
      </c>
      <c r="O20" s="77">
        <v>2</v>
      </c>
      <c r="P20" s="77"/>
      <c r="Q20" s="77"/>
    </row>
    <row r="21" spans="1:18" ht="14.25" customHeight="1" x14ac:dyDescent="0.3">
      <c r="A21" s="77"/>
      <c r="B21" s="77"/>
      <c r="C21" s="263"/>
      <c r="D21" s="77"/>
      <c r="E21" s="77"/>
      <c r="F21" s="77"/>
      <c r="G21" s="77"/>
      <c r="H21" s="77"/>
      <c r="I21" s="77"/>
      <c r="J21" s="240"/>
      <c r="K21" s="77"/>
      <c r="L21" s="77"/>
      <c r="M21" s="77"/>
      <c r="N21" s="77" t="s">
        <v>402</v>
      </c>
      <c r="O21" s="77">
        <v>1</v>
      </c>
      <c r="P21" s="77"/>
      <c r="Q21" s="77"/>
    </row>
    <row r="22" spans="1:18" ht="14.25" customHeight="1" x14ac:dyDescent="0.3">
      <c r="A22" s="77"/>
      <c r="B22" s="77"/>
      <c r="C22" s="263"/>
      <c r="D22" s="77"/>
      <c r="E22" s="77"/>
      <c r="F22" s="77"/>
      <c r="G22" s="77"/>
      <c r="H22" s="77"/>
      <c r="I22" s="279" t="s">
        <v>191</v>
      </c>
      <c r="J22" s="280"/>
      <c r="K22" s="77"/>
      <c r="L22" s="77"/>
      <c r="M22" s="77"/>
      <c r="N22" s="77"/>
      <c r="O22" s="77">
        <f>SUM(O17:O21)</f>
        <v>104</v>
      </c>
      <c r="P22" s="77"/>
      <c r="Q22" s="77"/>
    </row>
    <row r="23" spans="1:18" ht="14.25" customHeight="1" x14ac:dyDescent="0.3">
      <c r="A23" s="77"/>
      <c r="B23" s="77"/>
      <c r="C23" s="263"/>
      <c r="D23" s="77"/>
      <c r="E23" s="77"/>
      <c r="F23" s="77"/>
      <c r="G23" s="77"/>
      <c r="H23" s="77"/>
      <c r="I23" s="77"/>
      <c r="J23" s="240"/>
      <c r="K23" s="77"/>
      <c r="L23" s="77"/>
      <c r="M23" s="77"/>
      <c r="N23" s="77"/>
      <c r="O23" s="77"/>
      <c r="P23" s="77"/>
      <c r="Q23" s="77"/>
    </row>
    <row r="24" spans="1:18" ht="14.25" customHeight="1" x14ac:dyDescent="0.3">
      <c r="A24" s="77"/>
      <c r="B24" s="77"/>
      <c r="C24" s="263"/>
      <c r="D24" s="77"/>
      <c r="E24" s="77"/>
      <c r="F24" s="77"/>
      <c r="G24" s="77"/>
      <c r="H24" s="77"/>
      <c r="I24" s="279" t="s">
        <v>403</v>
      </c>
      <c r="J24" s="280"/>
      <c r="K24" s="77"/>
      <c r="L24" s="77"/>
      <c r="M24" s="77"/>
      <c r="N24" s="77" t="s">
        <v>404</v>
      </c>
      <c r="O24" s="77"/>
      <c r="P24" s="77"/>
      <c r="Q24" s="77"/>
    </row>
    <row r="25" spans="1:18" ht="14.25" customHeight="1" x14ac:dyDescent="0.3">
      <c r="A25" s="77"/>
      <c r="B25" s="77"/>
      <c r="C25" s="263"/>
      <c r="D25" s="77"/>
      <c r="E25" s="77"/>
      <c r="F25" s="77"/>
      <c r="G25" s="77"/>
      <c r="H25" s="77"/>
      <c r="I25" s="77"/>
      <c r="J25" s="240"/>
      <c r="K25" s="77"/>
      <c r="L25" s="77"/>
      <c r="M25" s="77"/>
      <c r="N25" s="77" t="s">
        <v>405</v>
      </c>
      <c r="O25" s="77" t="s">
        <v>406</v>
      </c>
      <c r="P25" s="77"/>
      <c r="Q25" s="77"/>
    </row>
    <row r="26" spans="1:18" ht="14.25" customHeight="1" x14ac:dyDescent="0.3">
      <c r="A26" s="77"/>
      <c r="B26" s="77"/>
      <c r="C26" s="263"/>
      <c r="D26" s="77"/>
      <c r="E26" s="77"/>
      <c r="F26" s="77"/>
      <c r="G26" s="77"/>
      <c r="H26" s="77"/>
      <c r="I26" s="436" t="s">
        <v>407</v>
      </c>
      <c r="J26" s="301"/>
      <c r="K26" s="77"/>
      <c r="L26" s="77"/>
      <c r="M26" s="77">
        <v>1</v>
      </c>
      <c r="N26" s="281">
        <f>67000/31</f>
        <v>2161.2903225806454</v>
      </c>
      <c r="O26" s="77">
        <v>1434</v>
      </c>
      <c r="P26" s="77">
        <v>1434</v>
      </c>
      <c r="Q26" s="77"/>
    </row>
    <row r="27" spans="1:18" ht="14.25" customHeight="1" x14ac:dyDescent="0.3">
      <c r="A27" s="77"/>
      <c r="B27" s="77"/>
      <c r="C27" s="263"/>
      <c r="D27" s="77"/>
      <c r="E27" s="77"/>
      <c r="F27" s="77"/>
      <c r="G27" s="77"/>
      <c r="H27" s="77"/>
      <c r="I27" s="77"/>
      <c r="J27" s="240"/>
      <c r="K27" s="77"/>
      <c r="L27" s="77"/>
      <c r="M27" s="77">
        <v>2</v>
      </c>
      <c r="N27" s="281">
        <f>(67000-P26)/30</f>
        <v>2185.5333333333333</v>
      </c>
      <c r="O27" s="77">
        <v>1945</v>
      </c>
      <c r="P27" s="77">
        <f t="shared" ref="P27:P31" si="0">O27+P26</f>
        <v>3379</v>
      </c>
      <c r="Q27" s="77"/>
    </row>
    <row r="28" spans="1:18" ht="14.25" customHeight="1" x14ac:dyDescent="0.3">
      <c r="A28" s="77"/>
      <c r="B28" s="77"/>
      <c r="C28" s="263"/>
      <c r="D28" s="77"/>
      <c r="E28" s="77"/>
      <c r="F28" s="77"/>
      <c r="G28" s="77"/>
      <c r="H28" s="437" t="s">
        <v>408</v>
      </c>
      <c r="I28" s="293"/>
      <c r="J28" s="301"/>
      <c r="K28" s="77"/>
      <c r="L28" s="77"/>
      <c r="M28" s="77">
        <v>3</v>
      </c>
      <c r="N28" s="281">
        <f>(67000-P27)/29</f>
        <v>2193.8275862068967</v>
      </c>
      <c r="O28" s="77">
        <v>2045</v>
      </c>
      <c r="P28" s="77">
        <f t="shared" si="0"/>
        <v>5424</v>
      </c>
      <c r="Q28" s="77"/>
    </row>
    <row r="29" spans="1:18" ht="14.25" customHeight="1" x14ac:dyDescent="0.3">
      <c r="A29" s="77"/>
      <c r="B29" s="77"/>
      <c r="C29" s="263"/>
      <c r="D29" s="77"/>
      <c r="E29" s="77"/>
      <c r="F29" s="77"/>
      <c r="G29" s="77"/>
      <c r="H29" s="438" t="s">
        <v>409</v>
      </c>
      <c r="I29" s="293"/>
      <c r="J29" s="301"/>
      <c r="K29" s="77"/>
      <c r="L29" s="77"/>
      <c r="M29" s="77">
        <v>4</v>
      </c>
      <c r="N29" s="281">
        <f>(67000-P28)/28</f>
        <v>2199.1428571428573</v>
      </c>
      <c r="O29" s="77">
        <v>1995</v>
      </c>
      <c r="P29" s="77">
        <f t="shared" si="0"/>
        <v>7419</v>
      </c>
      <c r="Q29" s="77"/>
    </row>
    <row r="30" spans="1:18" ht="14.25" customHeight="1" x14ac:dyDescent="0.3">
      <c r="A30" s="77"/>
      <c r="B30" s="77"/>
      <c r="C30" s="263"/>
      <c r="D30" s="77"/>
      <c r="E30" s="77"/>
      <c r="F30" s="77"/>
      <c r="G30" s="77"/>
      <c r="H30" s="439" t="s">
        <v>410</v>
      </c>
      <c r="I30" s="293"/>
      <c r="J30" s="301"/>
      <c r="K30" s="77"/>
      <c r="L30" s="77"/>
      <c r="M30" s="77">
        <v>5</v>
      </c>
      <c r="N30" s="281">
        <f>(67000-P29)/27</f>
        <v>2206.7037037037039</v>
      </c>
      <c r="O30" s="77">
        <v>2435</v>
      </c>
      <c r="P30" s="77">
        <f t="shared" si="0"/>
        <v>9854</v>
      </c>
      <c r="Q30" s="77"/>
    </row>
    <row r="31" spans="1:18" ht="14.25" customHeight="1" x14ac:dyDescent="0.3">
      <c r="C31" s="263"/>
      <c r="D31" s="77"/>
      <c r="E31" s="77"/>
      <c r="F31" s="77"/>
      <c r="G31" s="77"/>
      <c r="H31" s="77"/>
      <c r="I31" s="77"/>
      <c r="J31" s="240"/>
      <c r="M31" s="77">
        <v>6</v>
      </c>
      <c r="N31" s="281">
        <f>(67000-P30)/26</f>
        <v>2197.9230769230771</v>
      </c>
      <c r="O31" s="77">
        <v>2093</v>
      </c>
      <c r="P31" s="77">
        <f t="shared" si="0"/>
        <v>11947</v>
      </c>
    </row>
    <row r="32" spans="1:18" ht="14.25" customHeight="1" x14ac:dyDescent="0.3">
      <c r="C32" s="282"/>
      <c r="D32" s="283"/>
      <c r="E32" s="283"/>
      <c r="F32" s="283"/>
      <c r="G32" s="283"/>
      <c r="H32" s="283"/>
      <c r="I32" s="283"/>
      <c r="J32" s="246"/>
    </row>
    <row r="33" spans="1:2" ht="14.25" customHeight="1" x14ac:dyDescent="0.3"/>
    <row r="34" spans="1:2" ht="14.25" customHeight="1" x14ac:dyDescent="0.3"/>
    <row r="35" spans="1:2" ht="14.25" customHeight="1" x14ac:dyDescent="0.3"/>
    <row r="36" spans="1:2" ht="14.25" customHeight="1" x14ac:dyDescent="0.3"/>
    <row r="37" spans="1:2" ht="14.25" customHeight="1" x14ac:dyDescent="0.3">
      <c r="A37" s="80" t="s">
        <v>411</v>
      </c>
      <c r="B37" s="80" t="s">
        <v>412</v>
      </c>
    </row>
    <row r="38" spans="1:2" ht="14.25" customHeight="1" x14ac:dyDescent="0.3">
      <c r="A38" s="80" t="s">
        <v>411</v>
      </c>
      <c r="B38" s="80" t="s">
        <v>413</v>
      </c>
    </row>
    <row r="39" spans="1:2" ht="14.25" customHeight="1" x14ac:dyDescent="0.3"/>
    <row r="40" spans="1:2" ht="14.25" customHeight="1" x14ac:dyDescent="0.3"/>
    <row r="41" spans="1:2" ht="14.25" customHeight="1" x14ac:dyDescent="0.3"/>
    <row r="42" spans="1:2" ht="14.25" customHeight="1" x14ac:dyDescent="0.3"/>
    <row r="43" spans="1:2" ht="14.25" customHeight="1" x14ac:dyDescent="0.3"/>
    <row r="44" spans="1:2" ht="14.25" customHeight="1" x14ac:dyDescent="0.3"/>
    <row r="45" spans="1:2" ht="14.25" customHeight="1" x14ac:dyDescent="0.3"/>
    <row r="46" spans="1:2" ht="14.25" customHeight="1" x14ac:dyDescent="0.3"/>
    <row r="47" spans="1:2" ht="14.25" customHeight="1" x14ac:dyDescent="0.3"/>
    <row r="48" spans="1: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">
    <mergeCell ref="I26:J26"/>
    <mergeCell ref="H28:J28"/>
    <mergeCell ref="H29:J29"/>
    <mergeCell ref="H30:J30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G1000"/>
  <sheetViews>
    <sheetView workbookViewId="0"/>
  </sheetViews>
  <sheetFormatPr defaultColWidth="14.44140625" defaultRowHeight="15" customHeight="1" x14ac:dyDescent="0.3"/>
  <cols>
    <col min="1" max="9" width="8.6640625" customWidth="1"/>
    <col min="10" max="10" width="11" customWidth="1"/>
    <col min="11" max="33" width="8.6640625" customWidth="1"/>
  </cols>
  <sheetData>
    <row r="1" spans="2:16" ht="14.25" customHeight="1" x14ac:dyDescent="0.3"/>
    <row r="2" spans="2:16" ht="14.25" customHeight="1" x14ac:dyDescent="0.3"/>
    <row r="3" spans="2:16" ht="14.25" customHeight="1" x14ac:dyDescent="0.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spans="2:16" ht="14.25" customHeight="1" x14ac:dyDescent="0.35">
      <c r="B4" s="300" t="s">
        <v>0</v>
      </c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301"/>
    </row>
    <row r="5" spans="2:16" ht="14.25" customHeight="1" x14ac:dyDescent="0.3">
      <c r="B5" s="305" t="s">
        <v>298</v>
      </c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301"/>
    </row>
    <row r="6" spans="2:16" ht="14.25" customHeight="1" x14ac:dyDescent="0.45">
      <c r="B6" s="306" t="s">
        <v>191</v>
      </c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301"/>
    </row>
    <row r="7" spans="2:16" ht="14.25" customHeight="1" x14ac:dyDescent="0.3">
      <c r="B7" s="307"/>
      <c r="C7" s="294"/>
      <c r="D7" s="5"/>
      <c r="E7" s="5"/>
      <c r="F7" s="5"/>
      <c r="G7" s="5"/>
      <c r="H7" s="5"/>
      <c r="I7" s="5"/>
      <c r="J7" s="5"/>
      <c r="K7" s="5"/>
      <c r="L7" s="5"/>
      <c r="M7" s="5"/>
      <c r="N7" s="11"/>
      <c r="O7" s="5"/>
      <c r="P7" s="6"/>
    </row>
    <row r="8" spans="2:16" ht="14.25" customHeight="1" x14ac:dyDescent="0.3">
      <c r="B8" s="393" t="s">
        <v>271</v>
      </c>
      <c r="C8" s="369"/>
      <c r="D8" s="369"/>
      <c r="E8" s="370"/>
      <c r="F8" s="393" t="s">
        <v>272</v>
      </c>
      <c r="G8" s="369"/>
      <c r="H8" s="369"/>
      <c r="I8" s="369"/>
      <c r="J8" s="369"/>
      <c r="K8" s="369"/>
      <c r="L8" s="369"/>
      <c r="M8" s="370"/>
      <c r="N8" s="5"/>
      <c r="O8" s="5"/>
      <c r="P8" s="6"/>
    </row>
    <row r="9" spans="2:16" ht="14.25" customHeight="1" x14ac:dyDescent="0.3">
      <c r="B9" s="394"/>
      <c r="C9" s="340"/>
      <c r="D9" s="2"/>
      <c r="E9" s="284"/>
      <c r="F9" s="441" t="s">
        <v>172</v>
      </c>
      <c r="G9" s="396"/>
      <c r="H9" s="442" t="s">
        <v>173</v>
      </c>
      <c r="I9" s="442" t="s">
        <v>198</v>
      </c>
      <c r="J9" s="440" t="s">
        <v>170</v>
      </c>
      <c r="K9" s="392"/>
      <c r="L9" s="443" t="s">
        <v>414</v>
      </c>
      <c r="M9" s="444" t="s">
        <v>179</v>
      </c>
      <c r="N9" s="302" t="s">
        <v>415</v>
      </c>
      <c r="O9" s="293"/>
      <c r="P9" s="301"/>
    </row>
    <row r="10" spans="2:16" ht="14.25" customHeight="1" x14ac:dyDescent="0.3">
      <c r="B10" s="399" t="s">
        <v>275</v>
      </c>
      <c r="C10" s="293"/>
      <c r="D10" s="293"/>
      <c r="E10" s="294"/>
      <c r="F10" s="397"/>
      <c r="G10" s="398"/>
      <c r="H10" s="386"/>
      <c r="I10" s="386"/>
      <c r="J10" s="285" t="s">
        <v>76</v>
      </c>
      <c r="K10" s="285" t="s">
        <v>174</v>
      </c>
      <c r="L10" s="386"/>
      <c r="M10" s="445"/>
      <c r="N10" s="302" t="s">
        <v>416</v>
      </c>
      <c r="O10" s="293"/>
      <c r="P10" s="301"/>
    </row>
    <row r="11" spans="2:16" ht="14.25" customHeight="1" x14ac:dyDescent="0.3">
      <c r="B11" s="428" t="s">
        <v>277</v>
      </c>
      <c r="C11" s="296"/>
      <c r="D11" s="296"/>
      <c r="E11" s="296"/>
      <c r="F11" s="400" t="s">
        <v>182</v>
      </c>
      <c r="G11" s="309"/>
      <c r="H11" s="201" t="s">
        <v>157</v>
      </c>
      <c r="I11" s="201">
        <v>12400</v>
      </c>
      <c r="J11" s="286"/>
      <c r="K11" s="201"/>
      <c r="L11" s="201"/>
      <c r="M11" s="287"/>
      <c r="N11" s="5"/>
      <c r="O11" s="5"/>
      <c r="P11" s="6"/>
    </row>
    <row r="12" spans="2:16" ht="14.25" customHeight="1" x14ac:dyDescent="0.3">
      <c r="B12" s="305" t="s">
        <v>153</v>
      </c>
      <c r="C12" s="293"/>
      <c r="D12" s="293"/>
      <c r="E12" s="294"/>
      <c r="F12" s="400" t="s">
        <v>278</v>
      </c>
      <c r="G12" s="309"/>
      <c r="H12" s="201" t="s">
        <v>157</v>
      </c>
      <c r="I12" s="201">
        <v>6200</v>
      </c>
      <c r="J12" s="201"/>
      <c r="K12" s="201"/>
      <c r="L12" s="201"/>
      <c r="M12" s="287"/>
      <c r="N12" s="303" t="s">
        <v>15</v>
      </c>
      <c r="O12" s="293"/>
      <c r="P12" s="301"/>
    </row>
    <row r="13" spans="2:16" ht="14.25" customHeight="1" x14ac:dyDescent="0.3">
      <c r="B13" s="402" t="s">
        <v>54</v>
      </c>
      <c r="C13" s="293"/>
      <c r="D13" s="293"/>
      <c r="E13" s="294"/>
      <c r="F13" s="400" t="s">
        <v>206</v>
      </c>
      <c r="G13" s="309"/>
      <c r="H13" s="201" t="s">
        <v>279</v>
      </c>
      <c r="I13" s="201">
        <v>61</v>
      </c>
      <c r="J13" s="201"/>
      <c r="K13" s="201"/>
      <c r="L13" s="201"/>
      <c r="M13" s="287"/>
      <c r="N13" s="5"/>
      <c r="O13" s="5"/>
      <c r="P13" s="6"/>
    </row>
    <row r="14" spans="2:16" ht="14.25" customHeight="1" x14ac:dyDescent="0.3">
      <c r="B14" s="305" t="s">
        <v>280</v>
      </c>
      <c r="C14" s="293"/>
      <c r="D14" s="293"/>
      <c r="E14" s="294"/>
      <c r="F14" s="400" t="s">
        <v>281</v>
      </c>
      <c r="G14" s="309"/>
      <c r="H14" s="201" t="s">
        <v>157</v>
      </c>
      <c r="I14" s="201">
        <v>74</v>
      </c>
      <c r="J14" s="206"/>
      <c r="K14" s="201"/>
      <c r="L14" s="201"/>
      <c r="M14" s="287"/>
      <c r="N14" s="303" t="s">
        <v>5</v>
      </c>
      <c r="O14" s="293"/>
      <c r="P14" s="301"/>
    </row>
    <row r="15" spans="2:16" ht="14.25" customHeight="1" x14ac:dyDescent="0.3">
      <c r="B15" s="305" t="s">
        <v>282</v>
      </c>
      <c r="C15" s="293"/>
      <c r="D15" s="293"/>
      <c r="E15" s="294"/>
      <c r="F15" s="400" t="s">
        <v>283</v>
      </c>
      <c r="G15" s="309"/>
      <c r="H15" s="201" t="s">
        <v>157</v>
      </c>
      <c r="I15" s="201">
        <v>25</v>
      </c>
      <c r="J15" s="201"/>
      <c r="K15" s="201"/>
      <c r="L15" s="201"/>
      <c r="M15" s="287"/>
      <c r="N15" s="5"/>
      <c r="O15" s="5"/>
      <c r="P15" s="6"/>
    </row>
    <row r="16" spans="2:16" ht="14.25" customHeight="1" x14ac:dyDescent="0.3">
      <c r="B16" s="305" t="s">
        <v>284</v>
      </c>
      <c r="C16" s="293"/>
      <c r="D16" s="293"/>
      <c r="E16" s="294"/>
      <c r="F16" s="400" t="s">
        <v>285</v>
      </c>
      <c r="G16" s="309"/>
      <c r="H16" s="201" t="s">
        <v>157</v>
      </c>
      <c r="I16" s="201">
        <v>10</v>
      </c>
      <c r="J16" s="201"/>
      <c r="K16" s="201"/>
      <c r="L16" s="201"/>
      <c r="M16" s="287"/>
      <c r="N16" s="303" t="s">
        <v>251</v>
      </c>
      <c r="O16" s="293"/>
      <c r="P16" s="301"/>
    </row>
    <row r="17" spans="2:16" ht="14.25" customHeight="1" x14ac:dyDescent="0.3">
      <c r="B17" s="305" t="s">
        <v>286</v>
      </c>
      <c r="C17" s="293"/>
      <c r="D17" s="293"/>
      <c r="E17" s="294"/>
      <c r="F17" s="400" t="s">
        <v>287</v>
      </c>
      <c r="G17" s="309"/>
      <c r="H17" s="201" t="s">
        <v>157</v>
      </c>
      <c r="I17" s="201">
        <v>600</v>
      </c>
      <c r="J17" s="201"/>
      <c r="K17" s="201"/>
      <c r="L17" s="201"/>
      <c r="M17" s="287"/>
      <c r="N17" s="5"/>
      <c r="O17" s="5"/>
      <c r="P17" s="6"/>
    </row>
    <row r="18" spans="2:16" ht="14.25" customHeight="1" x14ac:dyDescent="0.3">
      <c r="B18" s="305" t="s">
        <v>288</v>
      </c>
      <c r="C18" s="293"/>
      <c r="D18" s="293"/>
      <c r="E18" s="294"/>
      <c r="F18" s="400" t="s">
        <v>289</v>
      </c>
      <c r="G18" s="309"/>
      <c r="H18" s="201" t="s">
        <v>157</v>
      </c>
      <c r="I18" s="201">
        <v>220</v>
      </c>
      <c r="J18" s="201"/>
      <c r="K18" s="201"/>
      <c r="L18" s="201"/>
      <c r="M18" s="287"/>
      <c r="N18" s="303" t="s">
        <v>249</v>
      </c>
      <c r="O18" s="293"/>
      <c r="P18" s="301"/>
    </row>
    <row r="19" spans="2:16" ht="14.25" customHeight="1" x14ac:dyDescent="0.3">
      <c r="B19" s="305" t="s">
        <v>290</v>
      </c>
      <c r="C19" s="293"/>
      <c r="D19" s="293"/>
      <c r="E19" s="294"/>
      <c r="F19" s="430" t="s">
        <v>291</v>
      </c>
      <c r="G19" s="312"/>
      <c r="H19" s="209" t="s">
        <v>157</v>
      </c>
      <c r="I19" s="209">
        <v>160</v>
      </c>
      <c r="J19" s="209"/>
      <c r="K19" s="209"/>
      <c r="L19" s="209"/>
      <c r="M19" s="288"/>
      <c r="N19" s="5"/>
      <c r="O19" s="5"/>
      <c r="P19" s="6"/>
    </row>
    <row r="20" spans="2:16" ht="14.25" customHeight="1" x14ac:dyDescent="0.3">
      <c r="B20" s="307"/>
      <c r="C20" s="293"/>
      <c r="D20" s="293"/>
      <c r="E20" s="294"/>
      <c r="F20" s="446"/>
      <c r="G20" s="293"/>
      <c r="H20" s="293"/>
      <c r="I20" s="293"/>
      <c r="J20" s="293"/>
      <c r="K20" s="294"/>
      <c r="L20" s="5"/>
      <c r="M20" s="6"/>
      <c r="N20" s="303" t="s">
        <v>248</v>
      </c>
      <c r="O20" s="293"/>
      <c r="P20" s="301"/>
    </row>
    <row r="21" spans="2:16" ht="14.25" customHeight="1" x14ac:dyDescent="0.3">
      <c r="B21" s="307"/>
      <c r="C21" s="293"/>
      <c r="D21" s="293"/>
      <c r="E21" s="294"/>
      <c r="F21" s="4"/>
      <c r="G21" s="5"/>
      <c r="H21" s="5"/>
      <c r="I21" s="5"/>
      <c r="J21" s="5"/>
      <c r="K21" s="5"/>
      <c r="L21" s="5"/>
      <c r="M21" s="6"/>
      <c r="N21" s="5"/>
      <c r="O21" s="5"/>
      <c r="P21" s="6"/>
    </row>
    <row r="22" spans="2:16" ht="14.25" customHeight="1" x14ac:dyDescent="0.3">
      <c r="B22" s="307"/>
      <c r="C22" s="293"/>
      <c r="D22" s="293"/>
      <c r="E22" s="294"/>
      <c r="F22" s="4"/>
      <c r="G22" s="5"/>
      <c r="H22" s="5"/>
      <c r="I22" s="5"/>
      <c r="J22" s="5"/>
      <c r="K22" s="5"/>
      <c r="L22" s="5"/>
      <c r="M22" s="6"/>
      <c r="N22" s="303" t="s">
        <v>417</v>
      </c>
      <c r="O22" s="293"/>
      <c r="P22" s="301"/>
    </row>
    <row r="23" spans="2:16" ht="14.25" customHeight="1" x14ac:dyDescent="0.3">
      <c r="B23" s="307"/>
      <c r="C23" s="293"/>
      <c r="D23" s="293"/>
      <c r="E23" s="294"/>
      <c r="F23" s="4"/>
      <c r="G23" s="5"/>
      <c r="H23" s="5"/>
      <c r="I23" s="5"/>
      <c r="J23" s="5"/>
      <c r="K23" s="5"/>
      <c r="L23" s="5"/>
      <c r="M23" s="6"/>
      <c r="N23" s="5"/>
      <c r="O23" s="5"/>
      <c r="P23" s="6"/>
    </row>
    <row r="24" spans="2:16" ht="14.25" customHeight="1" x14ac:dyDescent="0.3">
      <c r="B24" s="307"/>
      <c r="C24" s="293"/>
      <c r="D24" s="293"/>
      <c r="E24" s="294"/>
      <c r="F24" s="4"/>
      <c r="G24" s="5"/>
      <c r="H24" s="5"/>
      <c r="I24" s="5"/>
      <c r="J24" s="5"/>
      <c r="K24" s="5"/>
      <c r="L24" s="5"/>
      <c r="M24" s="6"/>
      <c r="N24" s="5"/>
      <c r="O24" s="5"/>
      <c r="P24" s="6"/>
    </row>
    <row r="25" spans="2:16" ht="14.25" customHeight="1" x14ac:dyDescent="0.3">
      <c r="B25" s="307"/>
      <c r="C25" s="293"/>
      <c r="D25" s="293"/>
      <c r="E25" s="294"/>
      <c r="F25" s="4"/>
      <c r="G25" s="5"/>
      <c r="H25" s="5"/>
      <c r="I25" s="5"/>
      <c r="J25" s="5"/>
      <c r="K25" s="5"/>
      <c r="L25" s="5"/>
      <c r="M25" s="6"/>
      <c r="N25" s="5"/>
      <c r="O25" s="5"/>
      <c r="P25" s="6"/>
    </row>
    <row r="26" spans="2:16" ht="14.25" customHeight="1" x14ac:dyDescent="0.3">
      <c r="B26" s="307"/>
      <c r="C26" s="293"/>
      <c r="D26" s="293"/>
      <c r="E26" s="294"/>
      <c r="F26" s="4"/>
      <c r="G26" s="5"/>
      <c r="H26" s="5"/>
      <c r="I26" s="5"/>
      <c r="J26" s="5"/>
      <c r="K26" s="5"/>
      <c r="L26" s="5"/>
      <c r="M26" s="6"/>
      <c r="N26" s="5"/>
      <c r="O26" s="81" t="s">
        <v>78</v>
      </c>
      <c r="P26" s="6"/>
    </row>
    <row r="27" spans="2:16" ht="14.25" customHeight="1" x14ac:dyDescent="0.3">
      <c r="B27" s="307"/>
      <c r="C27" s="293"/>
      <c r="D27" s="293"/>
      <c r="E27" s="294"/>
      <c r="F27" s="4"/>
      <c r="G27" s="5"/>
      <c r="H27" s="5"/>
      <c r="I27" s="5"/>
      <c r="J27" s="5"/>
      <c r="K27" s="5"/>
      <c r="L27" s="5"/>
      <c r="M27" s="6"/>
      <c r="N27" s="5"/>
      <c r="O27" s="5"/>
      <c r="P27" s="6"/>
    </row>
    <row r="28" spans="2:16" ht="14.25" customHeight="1" x14ac:dyDescent="0.3">
      <c r="B28" s="432"/>
      <c r="C28" s="298"/>
      <c r="D28" s="298"/>
      <c r="E28" s="299"/>
      <c r="F28" s="7"/>
      <c r="G28" s="8"/>
      <c r="H28" s="8"/>
      <c r="I28" s="8"/>
      <c r="J28" s="8"/>
      <c r="K28" s="8"/>
      <c r="L28" s="8"/>
      <c r="M28" s="9"/>
      <c r="N28" s="8"/>
      <c r="O28" s="8"/>
      <c r="P28" s="9"/>
    </row>
    <row r="29" spans="2:16" ht="14.25" customHeight="1" x14ac:dyDescent="0.3"/>
    <row r="30" spans="2:16" ht="14.25" customHeight="1" x14ac:dyDescent="0.3"/>
    <row r="31" spans="2:16" ht="14.25" customHeight="1" x14ac:dyDescent="0.3"/>
    <row r="32" spans="2:16" ht="14.25" customHeight="1" x14ac:dyDescent="0.3"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3"/>
    </row>
    <row r="33" spans="2:33" ht="14.25" customHeight="1" x14ac:dyDescent="0.35">
      <c r="B33" s="300" t="s">
        <v>0</v>
      </c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301"/>
      <c r="T33" s="238" t="s">
        <v>389</v>
      </c>
      <c r="U33" s="239" t="s">
        <v>304</v>
      </c>
      <c r="V33" s="239" t="s">
        <v>418</v>
      </c>
      <c r="W33" s="239" t="s">
        <v>172</v>
      </c>
      <c r="X33" s="239" t="s">
        <v>419</v>
      </c>
      <c r="Y33" s="239" t="s">
        <v>173</v>
      </c>
      <c r="Z33" s="239" t="s">
        <v>198</v>
      </c>
      <c r="AA33" s="239" t="s">
        <v>420</v>
      </c>
      <c r="AB33" s="239" t="s">
        <v>421</v>
      </c>
      <c r="AC33" s="239" t="s">
        <v>274</v>
      </c>
      <c r="AD33" s="410" t="s">
        <v>422</v>
      </c>
      <c r="AE33" s="412"/>
      <c r="AF33" s="412"/>
      <c r="AG33" s="411"/>
    </row>
    <row r="34" spans="2:33" ht="14.25" customHeight="1" x14ac:dyDescent="0.3">
      <c r="B34" s="305" t="s">
        <v>298</v>
      </c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301"/>
      <c r="T34" s="243"/>
      <c r="U34" s="244"/>
      <c r="V34" s="244"/>
      <c r="W34" s="244"/>
      <c r="X34" s="244"/>
      <c r="Y34" s="244"/>
      <c r="Z34" s="244"/>
      <c r="AA34" s="244"/>
      <c r="AB34" s="244"/>
      <c r="AC34" s="244"/>
      <c r="AD34" s="244" t="s">
        <v>389</v>
      </c>
      <c r="AE34" s="244" t="s">
        <v>423</v>
      </c>
      <c r="AF34" s="244" t="s">
        <v>424</v>
      </c>
      <c r="AG34" s="245" t="s">
        <v>425</v>
      </c>
    </row>
    <row r="35" spans="2:33" ht="14.25" customHeight="1" x14ac:dyDescent="0.45">
      <c r="B35" s="306" t="s">
        <v>417</v>
      </c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301"/>
      <c r="T35" s="267"/>
      <c r="U35" s="268"/>
      <c r="V35" s="268"/>
      <c r="W35" s="268"/>
      <c r="X35" s="268"/>
      <c r="Y35" s="268"/>
      <c r="Z35" s="268"/>
      <c r="AA35" s="268"/>
      <c r="AB35" s="268"/>
      <c r="AC35" s="268"/>
      <c r="AD35" s="268"/>
      <c r="AE35" s="268"/>
      <c r="AF35" s="268"/>
      <c r="AG35" s="269"/>
    </row>
    <row r="36" spans="2:33" ht="14.25" customHeight="1" x14ac:dyDescent="0.3">
      <c r="B36" s="452" t="s">
        <v>426</v>
      </c>
      <c r="C36" s="294"/>
      <c r="D36" s="5"/>
      <c r="E36" s="5"/>
      <c r="F36" s="5"/>
      <c r="G36" s="5"/>
      <c r="H36" s="5"/>
      <c r="I36" s="5"/>
      <c r="J36" s="5"/>
      <c r="K36" s="5"/>
      <c r="L36" s="5"/>
      <c r="M36" s="5"/>
      <c r="N36" s="11"/>
      <c r="O36" s="5"/>
      <c r="P36" s="6"/>
      <c r="T36" s="241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242"/>
    </row>
    <row r="37" spans="2:33" ht="14.25" customHeight="1" x14ac:dyDescent="0.3">
      <c r="B37" s="393" t="s">
        <v>427</v>
      </c>
      <c r="C37" s="369"/>
      <c r="D37" s="369"/>
      <c r="E37" s="340"/>
      <c r="F37" s="368"/>
      <c r="G37" s="369"/>
      <c r="H37" s="369"/>
      <c r="I37" s="369"/>
      <c r="J37" s="369"/>
      <c r="K37" s="369"/>
      <c r="L37" s="369"/>
      <c r="M37" s="370"/>
      <c r="N37" s="5"/>
      <c r="O37" s="5"/>
      <c r="P37" s="6"/>
      <c r="T37" s="241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242"/>
    </row>
    <row r="38" spans="2:33" ht="14.25" customHeight="1" x14ac:dyDescent="0.3">
      <c r="B38" s="394"/>
      <c r="C38" s="340"/>
      <c r="D38" s="2"/>
      <c r="E38" s="284"/>
      <c r="F38" s="453"/>
      <c r="G38" s="346"/>
      <c r="H38" s="455"/>
      <c r="I38" s="455"/>
      <c r="J38" s="451"/>
      <c r="K38" s="294"/>
      <c r="L38" s="448"/>
      <c r="M38" s="456"/>
      <c r="N38" s="302" t="s">
        <v>415</v>
      </c>
      <c r="O38" s="293"/>
      <c r="P38" s="301"/>
      <c r="T38" s="241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242"/>
    </row>
    <row r="39" spans="2:33" ht="14.25" customHeight="1" x14ac:dyDescent="0.3">
      <c r="B39" s="305"/>
      <c r="C39" s="293"/>
      <c r="D39" s="293"/>
      <c r="E39" s="294"/>
      <c r="F39" s="454"/>
      <c r="G39" s="351"/>
      <c r="H39" s="449"/>
      <c r="I39" s="449"/>
      <c r="J39" s="67"/>
      <c r="K39" s="67"/>
      <c r="L39" s="449"/>
      <c r="M39" s="457"/>
      <c r="N39" s="302" t="s">
        <v>416</v>
      </c>
      <c r="O39" s="293"/>
      <c r="P39" s="301"/>
      <c r="T39" s="241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242"/>
    </row>
    <row r="40" spans="2:33" ht="14.25" customHeight="1" x14ac:dyDescent="0.3">
      <c r="B40" s="305"/>
      <c r="C40" s="293"/>
      <c r="D40" s="293"/>
      <c r="E40" s="294"/>
      <c r="F40" s="447"/>
      <c r="G40" s="294"/>
      <c r="H40" s="5"/>
      <c r="I40" s="5"/>
      <c r="J40" s="5"/>
      <c r="K40" s="5"/>
      <c r="L40" s="5"/>
      <c r="M40" s="6"/>
      <c r="N40" s="5"/>
      <c r="O40" s="5"/>
      <c r="P40" s="6"/>
      <c r="T40" s="241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242"/>
    </row>
    <row r="41" spans="2:33" ht="14.25" customHeight="1" x14ac:dyDescent="0.3">
      <c r="B41" s="305"/>
      <c r="C41" s="293"/>
      <c r="D41" s="293"/>
      <c r="E41" s="294"/>
      <c r="F41" s="447"/>
      <c r="G41" s="294"/>
      <c r="H41" s="5"/>
      <c r="I41" s="5"/>
      <c r="J41" s="5"/>
      <c r="K41" s="5"/>
      <c r="L41" s="5"/>
      <c r="M41" s="6"/>
      <c r="N41" s="303" t="s">
        <v>15</v>
      </c>
      <c r="O41" s="293"/>
      <c r="P41" s="301"/>
      <c r="T41" s="241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242"/>
    </row>
    <row r="42" spans="2:33" ht="14.25" customHeight="1" x14ac:dyDescent="0.3">
      <c r="B42" s="305"/>
      <c r="C42" s="293"/>
      <c r="D42" s="293"/>
      <c r="E42" s="294"/>
      <c r="F42" s="447"/>
      <c r="G42" s="294"/>
      <c r="H42" s="5"/>
      <c r="I42" s="5"/>
      <c r="J42" s="5"/>
      <c r="K42" s="5"/>
      <c r="L42" s="5"/>
      <c r="M42" s="6"/>
      <c r="N42" s="5"/>
      <c r="O42" s="5"/>
      <c r="P42" s="6"/>
      <c r="T42" s="241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242"/>
    </row>
    <row r="43" spans="2:33" ht="14.25" customHeight="1" x14ac:dyDescent="0.3">
      <c r="B43" s="305"/>
      <c r="C43" s="293"/>
      <c r="D43" s="293"/>
      <c r="E43" s="294"/>
      <c r="F43" s="447"/>
      <c r="G43" s="294"/>
      <c r="H43" s="5"/>
      <c r="I43" s="5"/>
      <c r="J43" s="207"/>
      <c r="K43" s="5"/>
      <c r="L43" s="5"/>
      <c r="M43" s="6"/>
      <c r="N43" s="303" t="s">
        <v>5</v>
      </c>
      <c r="O43" s="293"/>
      <c r="P43" s="301"/>
      <c r="T43" s="241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242"/>
    </row>
    <row r="44" spans="2:33" ht="14.25" customHeight="1" x14ac:dyDescent="0.3">
      <c r="B44" s="305"/>
      <c r="C44" s="293"/>
      <c r="D44" s="293"/>
      <c r="E44" s="294"/>
      <c r="F44" s="447"/>
      <c r="G44" s="294"/>
      <c r="H44" s="5"/>
      <c r="I44" s="5"/>
      <c r="J44" s="5"/>
      <c r="K44" s="5"/>
      <c r="L44" s="5"/>
      <c r="M44" s="6"/>
      <c r="N44" s="5"/>
      <c r="O44" s="5"/>
      <c r="P44" s="6"/>
      <c r="T44" s="241"/>
      <c r="U44" s="172"/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/>
      <c r="AG44" s="242"/>
    </row>
    <row r="45" spans="2:33" ht="14.25" customHeight="1" x14ac:dyDescent="0.3">
      <c r="B45" s="305"/>
      <c r="C45" s="293"/>
      <c r="D45" s="293"/>
      <c r="E45" s="294"/>
      <c r="F45" s="447"/>
      <c r="G45" s="294"/>
      <c r="H45" s="5"/>
      <c r="I45" s="5"/>
      <c r="J45" s="5"/>
      <c r="K45" s="5"/>
      <c r="L45" s="5"/>
      <c r="M45" s="6"/>
      <c r="N45" s="303" t="s">
        <v>251</v>
      </c>
      <c r="O45" s="293"/>
      <c r="P45" s="301"/>
      <c r="T45" s="241"/>
      <c r="U45" s="172"/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/>
      <c r="AG45" s="242"/>
    </row>
    <row r="46" spans="2:33" ht="14.25" customHeight="1" x14ac:dyDescent="0.3">
      <c r="B46" s="305"/>
      <c r="C46" s="293"/>
      <c r="D46" s="293"/>
      <c r="E46" s="294"/>
      <c r="F46" s="447"/>
      <c r="G46" s="294"/>
      <c r="H46" s="5"/>
      <c r="I46" s="5"/>
      <c r="J46" s="5"/>
      <c r="K46" s="5"/>
      <c r="L46" s="5"/>
      <c r="M46" s="6"/>
      <c r="N46" s="5"/>
      <c r="O46" s="5"/>
      <c r="P46" s="6"/>
      <c r="T46" s="241"/>
      <c r="U46" s="172"/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/>
      <c r="AG46" s="242"/>
    </row>
    <row r="47" spans="2:33" ht="14.25" customHeight="1" x14ac:dyDescent="0.3">
      <c r="B47" s="305"/>
      <c r="C47" s="293"/>
      <c r="D47" s="293"/>
      <c r="E47" s="294"/>
      <c r="F47" s="447"/>
      <c r="G47" s="294"/>
      <c r="H47" s="5"/>
      <c r="I47" s="5"/>
      <c r="J47" s="5"/>
      <c r="K47" s="5"/>
      <c r="L47" s="5"/>
      <c r="M47" s="6"/>
      <c r="N47" s="303" t="s">
        <v>249</v>
      </c>
      <c r="O47" s="293"/>
      <c r="P47" s="301"/>
      <c r="T47" s="241"/>
      <c r="U47" s="172"/>
      <c r="V47" s="172"/>
      <c r="W47" s="172"/>
      <c r="X47" s="172"/>
      <c r="Y47" s="172"/>
      <c r="Z47" s="172"/>
      <c r="AA47" s="172"/>
      <c r="AB47" s="172"/>
      <c r="AC47" s="172"/>
      <c r="AD47" s="172"/>
      <c r="AE47" s="172"/>
      <c r="AF47" s="172"/>
      <c r="AG47" s="242"/>
    </row>
    <row r="48" spans="2:33" ht="14.25" customHeight="1" x14ac:dyDescent="0.3">
      <c r="B48" s="305"/>
      <c r="C48" s="293"/>
      <c r="D48" s="293"/>
      <c r="E48" s="294"/>
      <c r="F48" s="447"/>
      <c r="G48" s="294"/>
      <c r="H48" s="5"/>
      <c r="I48" s="5"/>
      <c r="J48" s="5"/>
      <c r="K48" s="5"/>
      <c r="L48" s="5"/>
      <c r="M48" s="6"/>
      <c r="N48" s="5"/>
      <c r="O48" s="5"/>
      <c r="P48" s="6"/>
      <c r="T48" s="241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/>
      <c r="AG48" s="242"/>
    </row>
    <row r="49" spans="2:33" ht="14.25" customHeight="1" x14ac:dyDescent="0.3">
      <c r="B49" s="307"/>
      <c r="C49" s="293"/>
      <c r="D49" s="293"/>
      <c r="E49" s="294"/>
      <c r="F49" s="446"/>
      <c r="G49" s="293"/>
      <c r="H49" s="293"/>
      <c r="I49" s="293"/>
      <c r="J49" s="293"/>
      <c r="K49" s="294"/>
      <c r="L49" s="5"/>
      <c r="M49" s="6"/>
      <c r="N49" s="303" t="s">
        <v>248</v>
      </c>
      <c r="O49" s="293"/>
      <c r="P49" s="301"/>
      <c r="T49" s="243"/>
      <c r="U49" s="244"/>
      <c r="V49" s="244"/>
      <c r="W49" s="244"/>
      <c r="X49" s="244"/>
      <c r="Y49" s="244"/>
      <c r="Z49" s="244"/>
      <c r="AA49" s="244"/>
      <c r="AB49" s="244"/>
      <c r="AC49" s="244"/>
      <c r="AD49" s="244"/>
      <c r="AE49" s="244"/>
      <c r="AF49" s="244"/>
      <c r="AG49" s="245"/>
    </row>
    <row r="50" spans="2:33" ht="14.25" customHeight="1" x14ac:dyDescent="0.3">
      <c r="B50" s="307"/>
      <c r="C50" s="293"/>
      <c r="D50" s="293"/>
      <c r="E50" s="294"/>
      <c r="F50" s="4"/>
      <c r="G50" s="5"/>
      <c r="H50" s="5"/>
      <c r="I50" s="5"/>
      <c r="J50" s="5"/>
      <c r="K50" s="5"/>
      <c r="L50" s="5"/>
      <c r="M50" s="6"/>
      <c r="N50" s="5"/>
      <c r="O50" s="5"/>
      <c r="P50" s="6"/>
    </row>
    <row r="51" spans="2:33" ht="14.25" customHeight="1" x14ac:dyDescent="0.3">
      <c r="B51" s="307"/>
      <c r="C51" s="293"/>
      <c r="D51" s="293"/>
      <c r="E51" s="294"/>
      <c r="F51" s="4"/>
      <c r="G51" s="5"/>
      <c r="H51" s="5"/>
      <c r="I51" s="5"/>
      <c r="J51" s="5"/>
      <c r="K51" s="5"/>
      <c r="L51" s="5"/>
      <c r="M51" s="6"/>
      <c r="N51" s="303" t="s">
        <v>428</v>
      </c>
      <c r="O51" s="293"/>
      <c r="P51" s="301"/>
    </row>
    <row r="52" spans="2:33" ht="14.25" customHeight="1" x14ac:dyDescent="0.3">
      <c r="B52" s="307"/>
      <c r="C52" s="293"/>
      <c r="D52" s="293"/>
      <c r="E52" s="294"/>
      <c r="F52" s="4"/>
      <c r="G52" s="5"/>
      <c r="H52" s="5"/>
      <c r="I52" s="5"/>
      <c r="J52" s="5"/>
      <c r="K52" s="5"/>
      <c r="L52" s="5"/>
      <c r="M52" s="6"/>
      <c r="N52" s="5"/>
      <c r="O52" s="5"/>
      <c r="P52" s="6"/>
    </row>
    <row r="53" spans="2:33" ht="14.25" customHeight="1" x14ac:dyDescent="0.3">
      <c r="B53" s="307"/>
      <c r="C53" s="293"/>
      <c r="D53" s="293"/>
      <c r="E53" s="294"/>
      <c r="F53" s="4"/>
      <c r="G53" s="5"/>
      <c r="H53" s="5"/>
      <c r="I53" s="5"/>
      <c r="J53" s="5"/>
      <c r="K53" s="5"/>
      <c r="L53" s="5"/>
      <c r="M53" s="6"/>
      <c r="N53" s="5"/>
      <c r="O53" s="5"/>
      <c r="P53" s="6"/>
    </row>
    <row r="54" spans="2:33" ht="14.25" customHeight="1" x14ac:dyDescent="0.3">
      <c r="B54" s="307"/>
      <c r="C54" s="293"/>
      <c r="D54" s="293"/>
      <c r="E54" s="294"/>
      <c r="F54" s="4"/>
      <c r="G54" s="5"/>
      <c r="H54" s="5"/>
      <c r="I54" s="5"/>
      <c r="J54" s="5"/>
      <c r="K54" s="5"/>
      <c r="L54" s="5"/>
      <c r="M54" s="6"/>
      <c r="N54" s="5"/>
      <c r="O54" s="5"/>
      <c r="P54" s="6"/>
    </row>
    <row r="55" spans="2:33" ht="14.25" customHeight="1" x14ac:dyDescent="0.3">
      <c r="B55" s="307"/>
      <c r="C55" s="293"/>
      <c r="D55" s="293"/>
      <c r="E55" s="294"/>
      <c r="F55" s="4"/>
      <c r="G55" s="5"/>
      <c r="H55" s="5"/>
      <c r="I55" s="5"/>
      <c r="J55" s="5"/>
      <c r="K55" s="5"/>
      <c r="L55" s="5"/>
      <c r="M55" s="6"/>
      <c r="N55" s="5"/>
      <c r="O55" s="81" t="s">
        <v>78</v>
      </c>
      <c r="P55" s="6"/>
    </row>
    <row r="56" spans="2:33" ht="14.25" customHeight="1" x14ac:dyDescent="0.3">
      <c r="B56" s="307"/>
      <c r="C56" s="293"/>
      <c r="D56" s="293"/>
      <c r="E56" s="294"/>
      <c r="F56" s="4"/>
      <c r="G56" s="5"/>
      <c r="H56" s="5"/>
      <c r="I56" s="5"/>
      <c r="J56" s="5"/>
      <c r="K56" s="5"/>
      <c r="L56" s="5"/>
      <c r="M56" s="6"/>
      <c r="N56" s="5"/>
      <c r="O56" s="5"/>
      <c r="P56" s="6"/>
    </row>
    <row r="57" spans="2:33" ht="14.25" customHeight="1" x14ac:dyDescent="0.3">
      <c r="B57" s="432"/>
      <c r="C57" s="298"/>
      <c r="D57" s="298"/>
      <c r="E57" s="299"/>
      <c r="F57" s="7"/>
      <c r="G57" s="8"/>
      <c r="H57" s="8"/>
      <c r="I57" s="8"/>
      <c r="J57" s="8"/>
      <c r="K57" s="8"/>
      <c r="L57" s="8"/>
      <c r="M57" s="9"/>
      <c r="N57" s="8"/>
      <c r="O57" s="8"/>
      <c r="P57" s="9"/>
    </row>
    <row r="58" spans="2:33" ht="14.25" customHeight="1" x14ac:dyDescent="0.3"/>
    <row r="59" spans="2:33" ht="14.25" customHeight="1" x14ac:dyDescent="0.3"/>
    <row r="60" spans="2:33" ht="14.25" customHeight="1" x14ac:dyDescent="0.3"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</row>
    <row r="61" spans="2:33" ht="14.25" customHeight="1" x14ac:dyDescent="0.3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2:33" ht="14.25" customHeight="1" x14ac:dyDescent="0.35">
      <c r="B62" s="458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3"/>
      <c r="P62" s="294"/>
    </row>
    <row r="63" spans="2:33" ht="14.25" customHeight="1" x14ac:dyDescent="0.3">
      <c r="B63" s="302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3"/>
      <c r="P63" s="294"/>
    </row>
    <row r="64" spans="2:33" ht="14.25" customHeight="1" x14ac:dyDescent="0.45">
      <c r="B64" s="450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4"/>
    </row>
    <row r="65" spans="2:16" ht="14.25" customHeight="1" x14ac:dyDescent="0.3">
      <c r="B65" s="451"/>
      <c r="C65" s="294"/>
      <c r="D65" s="302"/>
      <c r="E65" s="29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2:16" ht="14.25" customHeight="1" x14ac:dyDescent="0.3">
      <c r="B66" s="451"/>
      <c r="C66" s="293"/>
      <c r="D66" s="293"/>
      <c r="E66" s="294"/>
      <c r="F66" s="5"/>
      <c r="G66" s="5"/>
      <c r="H66" s="5"/>
      <c r="I66" s="207"/>
      <c r="J66" s="5"/>
      <c r="K66" s="5"/>
      <c r="L66" s="5"/>
      <c r="M66" s="5"/>
      <c r="N66" s="5"/>
      <c r="O66" s="5"/>
      <c r="P66" s="5"/>
    </row>
    <row r="67" spans="2:16" ht="14.25" customHeight="1" x14ac:dyDescent="0.3">
      <c r="B67" s="5"/>
      <c r="C67" s="5"/>
      <c r="D67" s="5"/>
      <c r="E67" s="5"/>
      <c r="F67" s="448"/>
      <c r="G67" s="448"/>
      <c r="H67" s="448"/>
      <c r="I67" s="448"/>
      <c r="J67" s="448"/>
      <c r="K67" s="448"/>
      <c r="L67" s="448"/>
      <c r="M67" s="448"/>
      <c r="N67" s="302"/>
      <c r="O67" s="293"/>
      <c r="P67" s="294"/>
    </row>
    <row r="68" spans="2:16" ht="14.25" customHeight="1" x14ac:dyDescent="0.3">
      <c r="B68" s="69"/>
      <c r="C68" s="5"/>
      <c r="D68" s="5"/>
      <c r="E68" s="289"/>
      <c r="F68" s="449"/>
      <c r="G68" s="449"/>
      <c r="H68" s="449"/>
      <c r="I68" s="449"/>
      <c r="J68" s="449"/>
      <c r="K68" s="449"/>
      <c r="L68" s="449"/>
      <c r="M68" s="449"/>
      <c r="N68" s="302"/>
      <c r="O68" s="293"/>
      <c r="P68" s="294"/>
    </row>
    <row r="69" spans="2:16" ht="14.25" customHeight="1" x14ac:dyDescent="0.3">
      <c r="B69" s="69"/>
      <c r="C69" s="5"/>
      <c r="D69" s="5"/>
      <c r="E69" s="289"/>
      <c r="F69" s="69"/>
      <c r="G69" s="70"/>
      <c r="H69" s="5"/>
      <c r="I69" s="5"/>
      <c r="J69" s="290"/>
      <c r="K69" s="5"/>
      <c r="L69" s="5"/>
      <c r="M69" s="5"/>
      <c r="N69" s="5"/>
      <c r="O69" s="5"/>
      <c r="P69" s="5"/>
    </row>
    <row r="70" spans="2:16" ht="14.25" customHeight="1" x14ac:dyDescent="0.3">
      <c r="B70" s="69"/>
      <c r="C70" s="5"/>
      <c r="D70" s="5"/>
      <c r="E70" s="289"/>
      <c r="F70" s="69"/>
      <c r="G70" s="70"/>
      <c r="H70" s="5"/>
      <c r="I70" s="5"/>
      <c r="J70" s="290"/>
      <c r="K70" s="5"/>
      <c r="L70" s="5"/>
      <c r="M70" s="5"/>
      <c r="N70" s="302"/>
      <c r="O70" s="293"/>
      <c r="P70" s="294"/>
    </row>
    <row r="71" spans="2:16" ht="14.25" customHeight="1" x14ac:dyDescent="0.3">
      <c r="B71" s="5"/>
      <c r="C71" s="5"/>
      <c r="D71" s="5"/>
      <c r="E71" s="5"/>
      <c r="F71" s="69"/>
      <c r="G71" s="70"/>
      <c r="H71" s="5"/>
      <c r="I71" s="5"/>
      <c r="J71" s="290"/>
      <c r="K71" s="5"/>
      <c r="L71" s="5"/>
      <c r="M71" s="5"/>
      <c r="N71" s="5"/>
      <c r="O71" s="5"/>
      <c r="P71" s="5"/>
    </row>
    <row r="72" spans="2:16" ht="14.25" customHeight="1" x14ac:dyDescent="0.3">
      <c r="B72" s="302"/>
      <c r="C72" s="293"/>
      <c r="D72" s="293"/>
      <c r="E72" s="294"/>
      <c r="F72" s="383"/>
      <c r="G72" s="294"/>
      <c r="H72" s="5"/>
      <c r="I72" s="5"/>
      <c r="J72" s="207"/>
      <c r="K72" s="5"/>
      <c r="L72" s="5"/>
      <c r="M72" s="5"/>
      <c r="N72" s="302"/>
      <c r="O72" s="293"/>
      <c r="P72" s="294"/>
    </row>
    <row r="73" spans="2:16" ht="14.25" customHeight="1" x14ac:dyDescent="0.3">
      <c r="B73" s="302"/>
      <c r="C73" s="293"/>
      <c r="D73" s="293"/>
      <c r="E73" s="29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2:16" ht="14.25" customHeight="1" x14ac:dyDescent="0.3">
      <c r="B74" s="302"/>
      <c r="C74" s="293"/>
      <c r="D74" s="293"/>
      <c r="E74" s="294"/>
      <c r="F74" s="5"/>
      <c r="G74" s="5"/>
      <c r="H74" s="5"/>
      <c r="I74" s="5"/>
      <c r="J74" s="5"/>
      <c r="K74" s="5"/>
      <c r="L74" s="5"/>
      <c r="M74" s="5"/>
      <c r="N74" s="302"/>
      <c r="O74" s="293"/>
      <c r="P74" s="294"/>
    </row>
    <row r="75" spans="2:16" ht="14.25" customHeight="1" x14ac:dyDescent="0.3">
      <c r="B75" s="302"/>
      <c r="C75" s="293"/>
      <c r="D75" s="293"/>
      <c r="E75" s="29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2:16" ht="14.25" customHeight="1" x14ac:dyDescent="0.3">
      <c r="B76" s="302"/>
      <c r="C76" s="293"/>
      <c r="D76" s="293"/>
      <c r="E76" s="294"/>
      <c r="F76" s="5"/>
      <c r="G76" s="5"/>
      <c r="H76" s="5"/>
      <c r="I76" s="5"/>
      <c r="J76" s="5"/>
      <c r="K76" s="5"/>
      <c r="L76" s="5"/>
      <c r="M76" s="5"/>
      <c r="N76" s="302"/>
      <c r="O76" s="293"/>
      <c r="P76" s="294"/>
    </row>
    <row r="77" spans="2:16" ht="14.25" customHeight="1" x14ac:dyDescent="0.3">
      <c r="B77" s="302"/>
      <c r="C77" s="293"/>
      <c r="D77" s="293"/>
      <c r="E77" s="29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2:16" ht="14.25" customHeight="1" x14ac:dyDescent="0.3">
      <c r="B78" s="302"/>
      <c r="C78" s="293"/>
      <c r="D78" s="293"/>
      <c r="E78" s="294"/>
      <c r="F78" s="383"/>
      <c r="G78" s="294"/>
      <c r="H78" s="5"/>
      <c r="I78" s="5"/>
      <c r="J78" s="5"/>
      <c r="K78" s="5"/>
      <c r="L78" s="5"/>
      <c r="M78" s="5"/>
      <c r="N78" s="302"/>
      <c r="O78" s="293"/>
      <c r="P78" s="294"/>
    </row>
    <row r="79" spans="2:16" ht="14.25" customHeight="1" x14ac:dyDescent="0.3">
      <c r="B79" s="302"/>
      <c r="C79" s="293"/>
      <c r="D79" s="293"/>
      <c r="E79" s="29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2:16" ht="14.25" customHeight="1" x14ac:dyDescent="0.3">
      <c r="B80" s="302"/>
      <c r="C80" s="293"/>
      <c r="D80" s="293"/>
      <c r="E80" s="29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2:16" ht="14.25" customHeight="1" x14ac:dyDescent="0.3">
      <c r="B81" s="302"/>
      <c r="C81" s="293"/>
      <c r="D81" s="293"/>
      <c r="E81" s="29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2:16" ht="14.25" customHeight="1" x14ac:dyDescent="0.3">
      <c r="B82" s="302"/>
      <c r="C82" s="293"/>
      <c r="D82" s="293"/>
      <c r="E82" s="29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2:16" ht="14.25" customHeight="1" x14ac:dyDescent="0.3">
      <c r="B83" s="302"/>
      <c r="C83" s="293"/>
      <c r="D83" s="293"/>
      <c r="E83" s="29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2:16" ht="14.25" customHeight="1" x14ac:dyDescent="0.3">
      <c r="B84" s="302"/>
      <c r="C84" s="293"/>
      <c r="D84" s="293"/>
      <c r="E84" s="294"/>
      <c r="F84" s="5"/>
      <c r="G84" s="5"/>
      <c r="H84" s="5"/>
      <c r="I84" s="5"/>
      <c r="J84" s="5"/>
      <c r="K84" s="5"/>
      <c r="L84" s="5"/>
      <c r="M84" s="5"/>
      <c r="N84" s="5"/>
      <c r="O84" s="291"/>
      <c r="P84" s="5"/>
    </row>
    <row r="85" spans="2:16" ht="14.25" customHeight="1" x14ac:dyDescent="0.3">
      <c r="B85" s="302"/>
      <c r="C85" s="293"/>
      <c r="D85" s="293"/>
      <c r="E85" s="29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2:16" ht="14.25" customHeight="1" x14ac:dyDescent="0.3">
      <c r="B86" s="302"/>
      <c r="C86" s="293"/>
      <c r="D86" s="293"/>
      <c r="E86" s="29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2:16" ht="14.25" customHeight="1" x14ac:dyDescent="0.3"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</row>
    <row r="88" spans="2:16" ht="14.25" customHeight="1" x14ac:dyDescent="0.3"/>
    <row r="89" spans="2:16" ht="14.25" customHeight="1" x14ac:dyDescent="0.3"/>
    <row r="90" spans="2:16" ht="14.25" customHeight="1" x14ac:dyDescent="0.3"/>
    <row r="91" spans="2:16" ht="14.25" customHeight="1" x14ac:dyDescent="0.3"/>
    <row r="92" spans="2:16" ht="14.25" customHeight="1" x14ac:dyDescent="0.3"/>
    <row r="93" spans="2:16" ht="14.25" customHeight="1" x14ac:dyDescent="0.3"/>
    <row r="94" spans="2:16" ht="14.25" customHeight="1" x14ac:dyDescent="0.3"/>
    <row r="95" spans="2:16" ht="14.25" customHeight="1" x14ac:dyDescent="0.3"/>
    <row r="96" spans="2:1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39">
    <mergeCell ref="N43:P43"/>
    <mergeCell ref="B44:E44"/>
    <mergeCell ref="F44:G44"/>
    <mergeCell ref="F45:G45"/>
    <mergeCell ref="N45:P45"/>
    <mergeCell ref="B52:E52"/>
    <mergeCell ref="B53:E53"/>
    <mergeCell ref="B54:E54"/>
    <mergeCell ref="B55:E55"/>
    <mergeCell ref="AD33:AG33"/>
    <mergeCell ref="J38:K38"/>
    <mergeCell ref="N38:P38"/>
    <mergeCell ref="B33:P33"/>
    <mergeCell ref="B34:P34"/>
    <mergeCell ref="B35:P35"/>
    <mergeCell ref="B36:C36"/>
    <mergeCell ref="B37:E37"/>
    <mergeCell ref="F37:M37"/>
    <mergeCell ref="B38:C38"/>
    <mergeCell ref="F38:G39"/>
    <mergeCell ref="H38:H39"/>
    <mergeCell ref="I38:I39"/>
    <mergeCell ref="L38:L39"/>
    <mergeCell ref="M38:M39"/>
    <mergeCell ref="B39:E39"/>
    <mergeCell ref="N39:P39"/>
    <mergeCell ref="B82:E82"/>
    <mergeCell ref="B83:E83"/>
    <mergeCell ref="B84:E84"/>
    <mergeCell ref="B85:E85"/>
    <mergeCell ref="B86:E86"/>
    <mergeCell ref="B76:E76"/>
    <mergeCell ref="B77:E77"/>
    <mergeCell ref="B78:E78"/>
    <mergeCell ref="F78:G78"/>
    <mergeCell ref="B79:E79"/>
    <mergeCell ref="B80:E80"/>
    <mergeCell ref="B81:E81"/>
    <mergeCell ref="N70:P70"/>
    <mergeCell ref="N72:P72"/>
    <mergeCell ref="N74:P74"/>
    <mergeCell ref="N76:P76"/>
    <mergeCell ref="N78:P78"/>
    <mergeCell ref="B63:P63"/>
    <mergeCell ref="B64:P64"/>
    <mergeCell ref="B65:C65"/>
    <mergeCell ref="D65:E65"/>
    <mergeCell ref="B66:E66"/>
    <mergeCell ref="F67:F68"/>
    <mergeCell ref="G67:G68"/>
    <mergeCell ref="H67:H68"/>
    <mergeCell ref="I67:I68"/>
    <mergeCell ref="B72:E72"/>
    <mergeCell ref="F72:G72"/>
    <mergeCell ref="B73:E73"/>
    <mergeCell ref="B74:E74"/>
    <mergeCell ref="B75:E75"/>
    <mergeCell ref="B50:E50"/>
    <mergeCell ref="B51:E51"/>
    <mergeCell ref="N51:P51"/>
    <mergeCell ref="J67:J68"/>
    <mergeCell ref="K67:K68"/>
    <mergeCell ref="L67:L68"/>
    <mergeCell ref="M67:M68"/>
    <mergeCell ref="N67:P67"/>
    <mergeCell ref="N68:P68"/>
    <mergeCell ref="B56:E56"/>
    <mergeCell ref="B57:E57"/>
    <mergeCell ref="B62:P62"/>
    <mergeCell ref="B46:E46"/>
    <mergeCell ref="F46:G46"/>
    <mergeCell ref="B47:E47"/>
    <mergeCell ref="F47:G47"/>
    <mergeCell ref="N47:P47"/>
    <mergeCell ref="F48:G48"/>
    <mergeCell ref="B48:E48"/>
    <mergeCell ref="B49:E49"/>
    <mergeCell ref="F49:K49"/>
    <mergeCell ref="N49:P49"/>
    <mergeCell ref="F19:G19"/>
    <mergeCell ref="B19:E19"/>
    <mergeCell ref="B20:E20"/>
    <mergeCell ref="F20:K20"/>
    <mergeCell ref="N20:P20"/>
    <mergeCell ref="B21:E21"/>
    <mergeCell ref="B22:E22"/>
    <mergeCell ref="N22:P22"/>
    <mergeCell ref="B45:E45"/>
    <mergeCell ref="B23:E23"/>
    <mergeCell ref="B24:E24"/>
    <mergeCell ref="B25:E25"/>
    <mergeCell ref="B26:E26"/>
    <mergeCell ref="B27:E27"/>
    <mergeCell ref="B28:E28"/>
    <mergeCell ref="B40:E40"/>
    <mergeCell ref="F40:G40"/>
    <mergeCell ref="B41:E41"/>
    <mergeCell ref="F41:G41"/>
    <mergeCell ref="N41:P41"/>
    <mergeCell ref="B42:E42"/>
    <mergeCell ref="F42:G42"/>
    <mergeCell ref="B43:E43"/>
    <mergeCell ref="F43:G43"/>
    <mergeCell ref="B15:E15"/>
    <mergeCell ref="F15:G15"/>
    <mergeCell ref="F16:G16"/>
    <mergeCell ref="N16:P16"/>
    <mergeCell ref="B16:E16"/>
    <mergeCell ref="B17:E17"/>
    <mergeCell ref="F17:G17"/>
    <mergeCell ref="B18:E18"/>
    <mergeCell ref="F18:G18"/>
    <mergeCell ref="N18:P18"/>
    <mergeCell ref="B11:E11"/>
    <mergeCell ref="F11:G11"/>
    <mergeCell ref="B12:E12"/>
    <mergeCell ref="F12:G12"/>
    <mergeCell ref="N12:P12"/>
    <mergeCell ref="B13:E13"/>
    <mergeCell ref="F13:G13"/>
    <mergeCell ref="B14:E14"/>
    <mergeCell ref="F14:G14"/>
    <mergeCell ref="N14:P14"/>
    <mergeCell ref="J9:K9"/>
    <mergeCell ref="N9:P9"/>
    <mergeCell ref="B4:P4"/>
    <mergeCell ref="B5:P5"/>
    <mergeCell ref="B6:P6"/>
    <mergeCell ref="B7:C7"/>
    <mergeCell ref="B8:E8"/>
    <mergeCell ref="F8:M8"/>
    <mergeCell ref="B9:C9"/>
    <mergeCell ref="F9:G10"/>
    <mergeCell ref="H9:H10"/>
    <mergeCell ref="I9:I10"/>
    <mergeCell ref="L9:L10"/>
    <mergeCell ref="M9:M10"/>
    <mergeCell ref="B10:E10"/>
    <mergeCell ref="N10:P10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Field Officer</vt:lpstr>
      <vt:lpstr>Manager</vt:lpstr>
      <vt:lpstr>Graphs</vt:lpstr>
      <vt:lpstr>Office</vt:lpstr>
      <vt:lpstr>PMMD</vt:lpstr>
      <vt:lpstr>Storekeeper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Weerathunga</dc:creator>
  <cp:lastModifiedBy>isuru sajan</cp:lastModifiedBy>
  <dcterms:created xsi:type="dcterms:W3CDTF">2024-07-06T12:05:46Z</dcterms:created>
  <dcterms:modified xsi:type="dcterms:W3CDTF">2026-01-28T04:21:11Z</dcterms:modified>
</cp:coreProperties>
</file>